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fricob27024546-my.sharepoint.com/personal/omartinez_cofrico_com/Documents/2025/Cierres/Asturias/Diciembre/"/>
    </mc:Choice>
  </mc:AlternateContent>
  <xr:revisionPtr revIDLastSave="9" documentId="8_{DF2F57D3-D840-4612-A627-77B1C21B5893}" xr6:coauthVersionLast="47" xr6:coauthVersionMax="47" xr10:uidLastSave="{F11D1BF7-DE05-8047-BB13-07214925C48A}"/>
  <bookViews>
    <workbookView xWindow="-120" yWindow="-120" windowWidth="29040" windowHeight="15840" xr2:uid="{DBDADC8A-2FC0-4715-B3EB-3F319936B7FA}"/>
  </bookViews>
  <sheets>
    <sheet name="F1768892946965_ZRE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88" i="1" l="1"/>
  <c r="V288" i="1"/>
  <c r="U288" i="1"/>
  <c r="AU288" i="1"/>
  <c r="AE288" i="1"/>
  <c r="W288" i="1"/>
  <c r="AF288" i="1"/>
  <c r="AD288" i="1"/>
  <c r="K207" i="1"/>
</calcChain>
</file>

<file path=xl/sharedStrings.xml><?xml version="1.0" encoding="utf-8"?>
<sst xmlns="http://schemas.openxmlformats.org/spreadsheetml/2006/main" count="3079" uniqueCount="812">
  <si>
    <t>Planta</t>
  </si>
  <si>
    <t>Cod_grupo</t>
  </si>
  <si>
    <t>Nom_grupo</t>
  </si>
  <si>
    <t>Cod_cliente</t>
  </si>
  <si>
    <t>Nom_cliente</t>
  </si>
  <si>
    <t>Cod_centro</t>
  </si>
  <si>
    <t>Nom_centro</t>
  </si>
  <si>
    <t>Lin_negocio</t>
  </si>
  <si>
    <t>Tipo</t>
  </si>
  <si>
    <t>Número</t>
  </si>
  <si>
    <t>Nombre</t>
  </si>
  <si>
    <t>Estado</t>
  </si>
  <si>
    <t>Apertura</t>
  </si>
  <si>
    <t>Cierre</t>
  </si>
  <si>
    <t>Ult_factura</t>
  </si>
  <si>
    <t>Categoría</t>
  </si>
  <si>
    <t>Pres_venta</t>
  </si>
  <si>
    <t>Pres_coste</t>
  </si>
  <si>
    <t>Ingreso</t>
  </si>
  <si>
    <t>Venta_pend_alb</t>
  </si>
  <si>
    <t>Venta_pend_ped</t>
  </si>
  <si>
    <t>Venta_pend_fac</t>
  </si>
  <si>
    <t>Venta</t>
  </si>
  <si>
    <t>Coste_lanzado</t>
  </si>
  <si>
    <t>Coste_MT</t>
  </si>
  <si>
    <t>Coste_SR</t>
  </si>
  <si>
    <t>Coste_MN</t>
  </si>
  <si>
    <t>Coste_DS</t>
  </si>
  <si>
    <t>Coste_OT</t>
  </si>
  <si>
    <t>Coste</t>
  </si>
  <si>
    <t>Margen</t>
  </si>
  <si>
    <t>Margen_%_vta</t>
  </si>
  <si>
    <t>Margen_2</t>
  </si>
  <si>
    <t>Margen_2_%_vta</t>
  </si>
  <si>
    <t>Horas_prev</t>
  </si>
  <si>
    <t>Horas_reales</t>
  </si>
  <si>
    <t>Garantia_MT</t>
  </si>
  <si>
    <t>Garantia_SR</t>
  </si>
  <si>
    <t>Garantia_MN</t>
  </si>
  <si>
    <t>Garantia_DS</t>
  </si>
  <si>
    <t>Garantia_OT</t>
  </si>
  <si>
    <t>Garantia</t>
  </si>
  <si>
    <t>Ingreso_periodo</t>
  </si>
  <si>
    <t>Venta_acumulado</t>
  </si>
  <si>
    <t>Coste_acumulado</t>
  </si>
  <si>
    <t>Garantia_acumulado</t>
  </si>
  <si>
    <t>Margen_acumulado</t>
  </si>
  <si>
    <t>Margen_acumulado_%_vta</t>
  </si>
  <si>
    <t>C00667</t>
  </si>
  <si>
    <t>ALCAMPO, S.A.</t>
  </si>
  <si>
    <t>ALCAMPO FERNANDO VI</t>
  </si>
  <si>
    <t>FRCO-OB</t>
  </si>
  <si>
    <t>Proyecto</t>
  </si>
  <si>
    <t>P10224013</t>
  </si>
  <si>
    <t>10224_1151 ALCAMPO GIJON_FC_ADECUACION Y LEGALIZACION</t>
  </si>
  <si>
    <t>Cerrado</t>
  </si>
  <si>
    <t>C05469</t>
  </si>
  <si>
    <t>BASIC FIT SPAIN, S.A.U.</t>
  </si>
  <si>
    <t>5004 - BF LOS FRESNOS GIJON</t>
  </si>
  <si>
    <t>CLIM-MNT</t>
  </si>
  <si>
    <t>Contrato</t>
  </si>
  <si>
    <t>CON-102-0426</t>
  </si>
  <si>
    <t>MTO CL 5004 BASIC FIT LOS FRESNOS GIJON</t>
  </si>
  <si>
    <t>En curso</t>
  </si>
  <si>
    <t xml:space="preserve">  /  /    </t>
  </si>
  <si>
    <t>Mantenimiento</t>
  </si>
  <si>
    <t>CON-102-0434</t>
  </si>
  <si>
    <t>SERV 24H CL 5004 BASIC FIT LOS FRESNOS GIJON</t>
  </si>
  <si>
    <t>FRCO-REP</t>
  </si>
  <si>
    <t>Solicitud</t>
  </si>
  <si>
    <t>RQ-0284712</t>
  </si>
  <si>
    <t>SOLO EN DUCHAS MASCULINO AGUA NO REGULA TEMPERATURA</t>
  </si>
  <si>
    <t>5230 - BF MARQUES HERMIDA SANT</t>
  </si>
  <si>
    <t>CON-102-0427</t>
  </si>
  <si>
    <t>MTO CL Y ACS 5230 BASIC FIT MARQUES HERMIDA SANTANDER</t>
  </si>
  <si>
    <t>CON-102-0435</t>
  </si>
  <si>
    <t>SERV 24H CL 5230 BASIC FIT MARQUES HERMIDA SANTANDER</t>
  </si>
  <si>
    <t>5231 - BF BAHIA REAL SANTANDER</t>
  </si>
  <si>
    <t>CON-102-0428</t>
  </si>
  <si>
    <t>MTO CL Y ACS 5231 BASIC FIT BAHIA REAL SANTANDER</t>
  </si>
  <si>
    <t>CON-102-0436</t>
  </si>
  <si>
    <t>SERV 24H CL 5231 BASIC FIT BAHIA REAL SANTANDER</t>
  </si>
  <si>
    <t>RQ-0284339</t>
  </si>
  <si>
    <t>TEMERATURA BAJA DUCHAS</t>
  </si>
  <si>
    <t>RQ-0284567</t>
  </si>
  <si>
    <t>DUCHA PMR SIN AGUA</t>
  </si>
  <si>
    <t>Cerrado+Facturado</t>
  </si>
  <si>
    <t>5246 - BF JUAN CARLOS I GIJON</t>
  </si>
  <si>
    <t>CON-102-0429</t>
  </si>
  <si>
    <t>MTO CL Y ACS 5246 BASIC FIT AV JUAN CARLOS I GIJON</t>
  </si>
  <si>
    <t>CON-102-0437</t>
  </si>
  <si>
    <t>SERV 24H CL 5246 BASIC FIT AV JUAN CARLOS I GIJON</t>
  </si>
  <si>
    <t>RQ-0284256</t>
  </si>
  <si>
    <t>P2 5246 JUAN CARLOS I EXTRACTORES OXIDADOS (anterior ref #57936176)</t>
  </si>
  <si>
    <t>5247 - BF MONTE CERRAU OVIEDO</t>
  </si>
  <si>
    <t>CON-102-0430</t>
  </si>
  <si>
    <t>MTO CL Y ACS 5247 BASIC FIT MONTE CERRAU OVIEDO</t>
  </si>
  <si>
    <t>CON-102-0438</t>
  </si>
  <si>
    <t>SERV 24H CL 5247 BASIC FIT MONTE CERRAU OVIEDO</t>
  </si>
  <si>
    <t>5249 - BF AV PORTUGAL GIJON</t>
  </si>
  <si>
    <t>CON-102-0431</t>
  </si>
  <si>
    <t>MTO CL Y ACS 5249 BASIC FIT AV PORTUGAL GIJON</t>
  </si>
  <si>
    <t>CON-102-0439</t>
  </si>
  <si>
    <t>SERV 24H CL 5249 BASIC FIT AV PORTUGAL GIJON</t>
  </si>
  <si>
    <t>CLIM-REP</t>
  </si>
  <si>
    <t>RQ-0284428</t>
  </si>
  <si>
    <t>NO FUNCIONA AIRE ACONDICIONADO</t>
  </si>
  <si>
    <t>5394 - BF MATEMATICO PEDRAYES OVIEDO</t>
  </si>
  <si>
    <t>CON-102-0444</t>
  </si>
  <si>
    <t>MTO CL Y ACS 5394 BASIC FIT MATEMATICO PEDRAYES RITE</t>
  </si>
  <si>
    <t>CON-102-0445</t>
  </si>
  <si>
    <t>SERV 24H CL 5394 BASIC FIT MATEMATICO PEDRAYES</t>
  </si>
  <si>
    <t>5397 - BF TORRELAVEGA</t>
  </si>
  <si>
    <t>CON-102-0448</t>
  </si>
  <si>
    <t>MTO CL Y ACS 5397 BASIC FIT TORRELAVEGA RITE</t>
  </si>
  <si>
    <t>CON-102-0449</t>
  </si>
  <si>
    <t>SERV 24H CL 5397 BASIC FIT TORRELAVEGA</t>
  </si>
  <si>
    <t>5530 - BF MCFIT GIJON</t>
  </si>
  <si>
    <t>CON-102-0432</t>
  </si>
  <si>
    <t>MTO CL Y ACS 5530 BASIC FIT CARLOS MARX GIJON RITE</t>
  </si>
  <si>
    <t>CON-102-0440</t>
  </si>
  <si>
    <t>SERV 24H CL 5530 BASIC FIT CARLOS MARX GIJON</t>
  </si>
  <si>
    <t>Pedido</t>
  </si>
  <si>
    <t>PFD-10225-00050</t>
  </si>
  <si>
    <t>Sustitucion de tarjeta electronica para Inverter en equipo clima</t>
  </si>
  <si>
    <t>RQ-0283844</t>
  </si>
  <si>
    <t>CARLOS MARX GIJÓN (MÁQUINAS DE AIRE NO ENCIENDEN)</t>
  </si>
  <si>
    <t>RQ-0285203</t>
  </si>
  <si>
    <t xml:space="preserve">Hemos encontrado una fuga de agua (con bastante presión) en una de las calderas </t>
  </si>
  <si>
    <t>5541 - BF MCFIT SANTANDER</t>
  </si>
  <si>
    <t>CON-102-0433</t>
  </si>
  <si>
    <t>MTO CL Y ACS 5541 BASIC FIT MCFIT SANTANDER RITE</t>
  </si>
  <si>
    <t>CON-102-0441</t>
  </si>
  <si>
    <t>SERV 24H CL 5541 BASIC FIT MCFIT SANTANDER</t>
  </si>
  <si>
    <t>C04605</t>
  </si>
  <si>
    <t>BAYER HISPANIA S.L.</t>
  </si>
  <si>
    <t>BAYER ASTURIAS</t>
  </si>
  <si>
    <t>FRCO-MNT</t>
  </si>
  <si>
    <t>CON-102-0425</t>
  </si>
  <si>
    <t>MTO FC BAYER LA FELGUERA</t>
  </si>
  <si>
    <t>PFD-10225-00059</t>
  </si>
  <si>
    <t>Mantenimiento de compresor por horas de funcionamiento.</t>
  </si>
  <si>
    <t>RQ-0283273</t>
  </si>
  <si>
    <t>Revar funcionamiento de compresor en equipo 11.6</t>
  </si>
  <si>
    <t>RQ-0283499</t>
  </si>
  <si>
    <t>Acaba de fugar una maquina, ir por alli de manera urgente. EQUIPO 11.9</t>
  </si>
  <si>
    <t>RQ-0284361</t>
  </si>
  <si>
    <t>Instalar compresor N1 de Enfriadora 103 realizado su mantenimiento</t>
  </si>
  <si>
    <t>RQ-0284614</t>
  </si>
  <si>
    <t>REVISAR EQUIPO 11.9</t>
  </si>
  <si>
    <t>RQ-0286710</t>
  </si>
  <si>
    <t>ENFRIADORA 11.9</t>
  </si>
  <si>
    <t>C00016</t>
  </si>
  <si>
    <t>BOFROST, SAU.</t>
  </si>
  <si>
    <t>BOFROST OVIEDO</t>
  </si>
  <si>
    <t>CON-102-0181</t>
  </si>
  <si>
    <t>MTO FC BOFROST OVIEDO</t>
  </si>
  <si>
    <t>RQ-0283652</t>
  </si>
  <si>
    <t>REVISAR CAMARA DE CONGELADOS ESTA PERDIENDO TEMPERATURA</t>
  </si>
  <si>
    <t>BOFROST SUCURSAL SANTANDER</t>
  </si>
  <si>
    <t>CON-102-0390</t>
  </si>
  <si>
    <t>MTO FC BOFROST SANTANDER</t>
  </si>
  <si>
    <t>RQ-0284050</t>
  </si>
  <si>
    <t>Revisar camara de congelado</t>
  </si>
  <si>
    <t>C01357</t>
  </si>
  <si>
    <t>COFRICO S.L.</t>
  </si>
  <si>
    <t>COFRICO ASTURIAS</t>
  </si>
  <si>
    <t>ESTRUCTURA</t>
  </si>
  <si>
    <t>CON-102-000001</t>
  </si>
  <si>
    <t>GESTIÓN INTERNA - DLG. ASTURIAS</t>
  </si>
  <si>
    <t>C00094</t>
  </si>
  <si>
    <t>CORPORACION ALIMENTARIA PEÑASANTA, S.A.</t>
  </si>
  <si>
    <t>CAPSA GRANDA ASTURIAS</t>
  </si>
  <si>
    <t>FRIN-MNT</t>
  </si>
  <si>
    <t>CON-102-0363</t>
  </si>
  <si>
    <t>MTO CAPSA GRANDA</t>
  </si>
  <si>
    <t>FRIN-OB</t>
  </si>
  <si>
    <t>P10225001</t>
  </si>
  <si>
    <t>10225_CAPSA GRANDA_FI_CAMARA REFRIGERADA SIN CONTROL HUMEDAD</t>
  </si>
  <si>
    <t>C00249</t>
  </si>
  <si>
    <t>FEU VERT IBERICA, S.A.</t>
  </si>
  <si>
    <t>FEU VERT GIJÓN</t>
  </si>
  <si>
    <t>CON-102-000025</t>
  </si>
  <si>
    <t>MTO FEUVERT GIJON</t>
  </si>
  <si>
    <t>RQ-0284611</t>
  </si>
  <si>
    <t>REVISAR EQUIPO DE CLIMA</t>
  </si>
  <si>
    <t>C01454</t>
  </si>
  <si>
    <t>GESTION INFRAST. SANITARIAS PRINCIPADO ASTURIAS SA</t>
  </si>
  <si>
    <t>HUCA ASTURIAS</t>
  </si>
  <si>
    <t>HOST-MNT</t>
  </si>
  <si>
    <t>MT-O011300406</t>
  </si>
  <si>
    <t>MTO INTEGRAL HUCA GISPASA</t>
  </si>
  <si>
    <t>GR027</t>
  </si>
  <si>
    <t>GRUPO ALIMERKA</t>
  </si>
  <si>
    <t>C00679</t>
  </si>
  <si>
    <t>ALIMERKA,S.A.</t>
  </si>
  <si>
    <t>0011_ALIMERKA_MIERES_JERONIMO IBRAN</t>
  </si>
  <si>
    <t>RQ-0285488</t>
  </si>
  <si>
    <t>CAMARA PANADERIA SALTA ALARMA</t>
  </si>
  <si>
    <t>0012_ALIMERKA_SIERO_AVDA VIELLA</t>
  </si>
  <si>
    <t>RQ-0284723</t>
  </si>
  <si>
    <t>ISLA PROMOCIONAL ESTA A 12º</t>
  </si>
  <si>
    <t>RQ-0285468</t>
  </si>
  <si>
    <t>ISLA PROMOCIONAL VUELTA A ESTAR A 10º</t>
  </si>
  <si>
    <t>0013_ALIMERKA_NOREÑA_FLOREZ ESTRADA</t>
  </si>
  <si>
    <t>RQ-0277663</t>
  </si>
  <si>
    <t>BISAGRA MAL EN VITRINA DE CARNICERIA</t>
  </si>
  <si>
    <t>0014_ALIMERKA_MIERES_AV MEJICO</t>
  </si>
  <si>
    <t>RQ-0274068</t>
  </si>
  <si>
    <t>Murales de positiva a 18ºC</t>
  </si>
  <si>
    <t>RQ-0274520</t>
  </si>
  <si>
    <t>MURAL PIZZAS Y QUESOS NO ENFRIA</t>
  </si>
  <si>
    <t>RQ-0284397</t>
  </si>
  <si>
    <t>Mural congelado helados salta automatico</t>
  </si>
  <si>
    <t>RQ-0284560</t>
  </si>
  <si>
    <t>CIERRE CAMARA PANADERIA TIENE HOLGURA</t>
  </si>
  <si>
    <t>RQ-0284571</t>
  </si>
  <si>
    <t>VUELVE A SALTAR AUTOMATICO MURAL HELADOS Prioridad: 1 - Inmediata</t>
  </si>
  <si>
    <t>RQ-0284975</t>
  </si>
  <si>
    <t>AUTOM CONGELADOR HELADOS SALTADO Prioridad: 2 - Urgente</t>
  </si>
  <si>
    <t>RQ-0285390</t>
  </si>
  <si>
    <t>ISLA DE HELADOS NO BAJA DE -3º</t>
  </si>
  <si>
    <t>0018_ALIMERKA_POLA DE SIERO_ALCALDE PARRONDO,18</t>
  </si>
  <si>
    <t>RQ-0283985</t>
  </si>
  <si>
    <t>Mural congelado pizzas no enfria</t>
  </si>
  <si>
    <t>RQ-0284165</t>
  </si>
  <si>
    <t>FUGA EN INSTALACION CENTRAL NEGATIVA</t>
  </si>
  <si>
    <t>RQ-0284526</t>
  </si>
  <si>
    <t>EVAPORADOR CAMARA CARNICERIA PIERDE</t>
  </si>
  <si>
    <t>RQ-0284805</t>
  </si>
  <si>
    <t>NEVERA CONGELADO ESTROPEADA</t>
  </si>
  <si>
    <t>RQ-0284857</t>
  </si>
  <si>
    <t>NEVERA CONGELADO SIGUE MAL.ESTA A -7º</t>
  </si>
  <si>
    <t>RQ-0285052</t>
  </si>
  <si>
    <t>ISLA DE CONGELADO NO BAJA DE -1º</t>
  </si>
  <si>
    <t>0025_ALIMERKA_LUANCO_FERNANDEZ VIÑA</t>
  </si>
  <si>
    <t>RQ-0275544</t>
  </si>
  <si>
    <t>CONGELADOR PESCADO NO SUBE DE -12º</t>
  </si>
  <si>
    <t>RQ-0285403</t>
  </si>
  <si>
    <t>MOSTRADOR CARNE A 15 GRADOS</t>
  </si>
  <si>
    <t>0027_ALIMERKA_SALINAS_LUIS TREILLARD,9</t>
  </si>
  <si>
    <t>RQ-0284225</t>
  </si>
  <si>
    <t>MANILLA PUERTA CONGELADOR ROTA</t>
  </si>
  <si>
    <t>RQ-0285467</t>
  </si>
  <si>
    <t>MURAL LONCHEADOS RUIDO EN VENTILADOR</t>
  </si>
  <si>
    <t>0035_ALIMERKA_GIJON_ RAMON Y CAJAL</t>
  </si>
  <si>
    <t>RQ-0284213</t>
  </si>
  <si>
    <t>MURAL CHARCU LIBRE SERV.SALTA AUTOMATICO</t>
  </si>
  <si>
    <t>RQ-0284488</t>
  </si>
  <si>
    <t>CÁMARA DE CARNE ABRE MUY MAL</t>
  </si>
  <si>
    <t>RQ-0284730</t>
  </si>
  <si>
    <t>SALTA AUTOMATICO DEL MURAL DE QUESOS Prioridad: 2 - Urgente</t>
  </si>
  <si>
    <t>0038_ALIMERKA_GIJON_17 DE AGOSTO</t>
  </si>
  <si>
    <t>RQ-0284833</t>
  </si>
  <si>
    <t xml:space="preserve">Ruido de fuga de gas en sala de maquinas. </t>
  </si>
  <si>
    <t>RQ-0284890</t>
  </si>
  <si>
    <t>MOSTRADOR CARNI NO ENFRIA. ESTA A 7º</t>
  </si>
  <si>
    <t>RQ-0284989</t>
  </si>
  <si>
    <t>REVISAR ARCONES CONGELADO, ESTAN A 7º Prioridad: 1 - Inmediata</t>
  </si>
  <si>
    <t>RQ-0285079</t>
  </si>
  <si>
    <t>MOTORES ARCON CONGELADOR PARADOS</t>
  </si>
  <si>
    <t>RQ-0285155</t>
  </si>
  <si>
    <t>MURAL YOGURES A 16º</t>
  </si>
  <si>
    <t>RQ-0285402</t>
  </si>
  <si>
    <t>MURAL EMBUTIDOS NO ENFRIA. A 16º</t>
  </si>
  <si>
    <t>0039_ALIMERKA_OVIEDO_SAN MELCHOR GARCIA SAMPEDRO</t>
  </si>
  <si>
    <t>RQ-0283829</t>
  </si>
  <si>
    <t>10 SEPARADORES DE CONGELADO</t>
  </si>
  <si>
    <t>0041_ALIMERKA_OVIEDO_PORTICOS</t>
  </si>
  <si>
    <t>RQ-0284196</t>
  </si>
  <si>
    <t>MANILLAS ROTAS EN MURALES CONGELADOS</t>
  </si>
  <si>
    <t>RQ-0284517</t>
  </si>
  <si>
    <t>ALARMA CAMARA CARNICERIA SALTADA</t>
  </si>
  <si>
    <t>RQ-0284727</t>
  </si>
  <si>
    <t>MANILLA PUERTA CAMARA PESCA ABRE MAL</t>
  </si>
  <si>
    <t>RQ-0284820</t>
  </si>
  <si>
    <t>PUERTA DE CAMARA DE PESCA NO ABRE</t>
  </si>
  <si>
    <t>0043_ALIMERKA_POSADA LLANERA_PRUDENCIO GLEZ</t>
  </si>
  <si>
    <t>RQ-0284483</t>
  </si>
  <si>
    <t>ISLA TARTAS CONGELADO PITA</t>
  </si>
  <si>
    <t>RQ-0285013</t>
  </si>
  <si>
    <t xml:space="preserve">PETIT FORESTIER: ISLA VUELVE A FALLAR </t>
  </si>
  <si>
    <t>0046_ALIMERKA_CUDILLERO_J ANTONIO BRAVO</t>
  </si>
  <si>
    <t>RQ-0284393</t>
  </si>
  <si>
    <t>congelador helados a 2 grados</t>
  </si>
  <si>
    <t>RQ-0284543</t>
  </si>
  <si>
    <t>ISLA DE HELADOS A -1º</t>
  </si>
  <si>
    <t>RQ-0284924</t>
  </si>
  <si>
    <t xml:space="preserve">NEVERA HELADOS CONGELA DEMASIADO </t>
  </si>
  <si>
    <t>0048_ALIMERKA_AVILES_DR MARAÑON</t>
  </si>
  <si>
    <t>RQ-0284598</t>
  </si>
  <si>
    <t>CAMARA PESCA MARCA EP2 EN DISPLAY</t>
  </si>
  <si>
    <t>0058_ALIMERKA_GIJON_AV PABLO I</t>
  </si>
  <si>
    <t>RQ-0283857</t>
  </si>
  <si>
    <t>TUBERIA FRIO TIENE HIELO Y GOTEA</t>
  </si>
  <si>
    <t>RQ-0284009</t>
  </si>
  <si>
    <t>PUERTA CONGELADOR DESENCAJADA</t>
  </si>
  <si>
    <t>0061_ALIMERKA_GIJON_LA HABANA</t>
  </si>
  <si>
    <t>RQ-0284950</t>
  </si>
  <si>
    <t>CIERRE PUERTA CAMARA PESCADERIA MAL</t>
  </si>
  <si>
    <t>0069_ALIMERKA_LLANES_LA PAZ</t>
  </si>
  <si>
    <t>RQ-0284490</t>
  </si>
  <si>
    <t>PUERTA CAMARA PESCA CIERRA MAL</t>
  </si>
  <si>
    <t>RQ-0285119</t>
  </si>
  <si>
    <t>Mueble congelado verduras salta diferencial</t>
  </si>
  <si>
    <t>0070_ALIMERKA_GIJON_EZCURDIA</t>
  </si>
  <si>
    <t>RQ-0285021</t>
  </si>
  <si>
    <t>CONGELADO PESCADO SUENA ALARMA Medida: #E01 ADEMAS,ESTA A UNA TEMPERATURA ALTA P</t>
  </si>
  <si>
    <t>RQ-0285582</t>
  </si>
  <si>
    <t>VITRINAS CARNE Y CHARCU NO ENFRIAN BIEN Prioridad: 2 - Urgente</t>
  </si>
  <si>
    <t>0071_ALIMERKA_AVILES_CC EL ATR</t>
  </si>
  <si>
    <t>RQ-0284920</t>
  </si>
  <si>
    <t xml:space="preserve">EVERA PROMOCIONAL NO ENFRIA </t>
  </si>
  <si>
    <t>0074_ALIMERKA_LA FELGUERA_JESUS ALONSO</t>
  </si>
  <si>
    <t>RQ-0283862</t>
  </si>
  <si>
    <t>PUERTA MURAL LONCHEADOS NO CIERRA</t>
  </si>
  <si>
    <t>RQ-0284908</t>
  </si>
  <si>
    <t>LA PANTALLA DE LA CAMARA DE PANADERIA TIENE UN NUMERO FUNDIDO Y NO MARCA TODA LA</t>
  </si>
  <si>
    <t>RQ-0284969</t>
  </si>
  <si>
    <t>LA CAMARA DE PANADERIA CUANDO LA APAGAS AL ENCENDERLA SE VUELVE LOCA</t>
  </si>
  <si>
    <t>0083_ALIMERKA_LANGREO_FERNANDE</t>
  </si>
  <si>
    <t>RQ-0284718</t>
  </si>
  <si>
    <t>CAMARA DE CARNICERIA ESTA A 10º</t>
  </si>
  <si>
    <t>RQ-0284831</t>
  </si>
  <si>
    <t>URGENTE CAMARA CARNE NO BAJA DE 8º</t>
  </si>
  <si>
    <t>RQ-0285330</t>
  </si>
  <si>
    <t>CAMARA DE CARNICERIA NO ENFRIA</t>
  </si>
  <si>
    <t>0088_ALIMERKA_EL ENTREGO_AV LA PAZ</t>
  </si>
  <si>
    <t>RQ-0284502</t>
  </si>
  <si>
    <t>SALTA CENTRAL POSITIVA Y NEGATIVA Prioridad: 2 - Urgente</t>
  </si>
  <si>
    <t>RQ-0284922</t>
  </si>
  <si>
    <t xml:space="preserve">BARRA SUELTA MURAL YOGURES </t>
  </si>
  <si>
    <t>0089_ALIMERKA_AVILES_JUAN XXI</t>
  </si>
  <si>
    <t>RQ-0284032</t>
  </si>
  <si>
    <t>CAMARA PESCADERIA TIENE MUCHO HIELO</t>
  </si>
  <si>
    <t>RQ-0284467</t>
  </si>
  <si>
    <t>VENTILADOR CAMARA PAN HACE RUIDO Y HIELO</t>
  </si>
  <si>
    <t>0091_ALIMERKA_GIJON_CALDERON DE LA BARCA,S/N</t>
  </si>
  <si>
    <t>RQ-0282922</t>
  </si>
  <si>
    <t xml:space="preserve">Desmontaje mueble. </t>
  </si>
  <si>
    <t>0093 ALIMERKA NAVIA AV. EMIGRANTES</t>
  </si>
  <si>
    <t>RQ-0284498</t>
  </si>
  <si>
    <t>E01 MURAL FRUTA Y CARNI ESTA A 17º Prioridad: 2 - Urgente</t>
  </si>
  <si>
    <t>0100_ALIMERKA_LUARCA_PZ FERIA</t>
  </si>
  <si>
    <t>RQ-0284506</t>
  </si>
  <si>
    <t>VENTILADOR ROTO EN VITRINA CARNICERIA Prioridad: 3 - Preferente</t>
  </si>
  <si>
    <t>0104_ALIMERKA_POLA SIERO_ERIA DEL HOSPITAL</t>
  </si>
  <si>
    <t>RQ-0284948</t>
  </si>
  <si>
    <t>ISLA PROMOCIONES A 20º</t>
  </si>
  <si>
    <t>0106_ALIMERKA_LA FELGUERA_MARQUES BOLARQUE</t>
  </si>
  <si>
    <t>RQ-0284457</t>
  </si>
  <si>
    <t>CENTRAL COFRICO SALTADA</t>
  </si>
  <si>
    <t>RQ-0284572</t>
  </si>
  <si>
    <t>MANILLA SUELTA DENTRO DE CAMARA PESCA Prioridad: 3 - Preferente</t>
  </si>
  <si>
    <t>0107_ALIMERKA_GIJON_ALVARGONZALEZ LANQUINE</t>
  </si>
  <si>
    <t>RQ-0284383</t>
  </si>
  <si>
    <t>SALTA AUTOM. CAMARA PANADERIA</t>
  </si>
  <si>
    <t>RQ-0284652</t>
  </si>
  <si>
    <t>EVAPORADOR CAMARA CARNICERIA PIERDE AGUA</t>
  </si>
  <si>
    <t>RQ-0285475</t>
  </si>
  <si>
    <t>ALARMA EN ARMARIOS CONGELADORES</t>
  </si>
  <si>
    <t>0108_ALIMERKA_MOREDA_HNOS MIRANADA</t>
  </si>
  <si>
    <t>RQ-0284785</t>
  </si>
  <si>
    <t>EMBELLEZEDOR LATERAL PUERTA MURAL CONG.</t>
  </si>
  <si>
    <t>RQ-0285152</t>
  </si>
  <si>
    <t>ARMARIO CONGELADO HACE RUIDO</t>
  </si>
  <si>
    <t>RQ-0285194</t>
  </si>
  <si>
    <t>REVISAR CAMARA SALTA UNA VEZ ESTA EL TECNICO EN TIENDA</t>
  </si>
  <si>
    <t>RQ-0285570</t>
  </si>
  <si>
    <t>CENTRAL POSITIVA Y NEGATIVA SALTADAS</t>
  </si>
  <si>
    <t>0109_ALIMERKA_OVIEDO_GLORIA FUERTES,59</t>
  </si>
  <si>
    <t>RQ-0284190</t>
  </si>
  <si>
    <t>CAMARA PAN DESENCAJADA NO CIERRA</t>
  </si>
  <si>
    <t>0110_ALIMERKA_ARRIONDAS_RAMON</t>
  </si>
  <si>
    <t>RQ-0285193</t>
  </si>
  <si>
    <t>CIERRE PUERTA CAMARA PESCADERIA ROTO</t>
  </si>
  <si>
    <t>0112_ALIMERKA_CANGAS ONIS_COVADONGA,13</t>
  </si>
  <si>
    <t>RQ-0285318</t>
  </si>
  <si>
    <t>MANILLA ARMARIO DE CONGELADOS ROTA</t>
  </si>
  <si>
    <t>0113_ALIMERKA_BLIMEA_LIBERTAD 30</t>
  </si>
  <si>
    <t>RQ-0284576</t>
  </si>
  <si>
    <t>SALTA CENTRAL NEGATIVA. ARMARIO A -7º Prioridad: 1 - Inmediata</t>
  </si>
  <si>
    <t>RQ-0284835</t>
  </si>
  <si>
    <t>MURAL MANTEQUILLAS PARADO</t>
  </si>
  <si>
    <t>RQ-0285401</t>
  </si>
  <si>
    <t>CENTRAL NEGATIVA SALTADA, NO REARMA</t>
  </si>
  <si>
    <t>0115_ALIMERKA_SAN JUAN ARENA_LOS QUEBRANTOS</t>
  </si>
  <si>
    <t>RQ-0284044</t>
  </si>
  <si>
    <t>Revision clima</t>
  </si>
  <si>
    <t>RQ-0284150</t>
  </si>
  <si>
    <t>PONER CHAPA EN MOSTRADOR CARNE-CHARCU</t>
  </si>
  <si>
    <t>RQ-0284340</t>
  </si>
  <si>
    <t>COLOCAR ZOCALO EN MURAL DE FRIO</t>
  </si>
  <si>
    <t>0117_ALIMERKA_OVIEDO_BERMUDEZ DE CASTRO</t>
  </si>
  <si>
    <t>RQ-0283965</t>
  </si>
  <si>
    <t>SUSTITUIR ARCON PESCADERIA EN MAL ESTADO</t>
  </si>
  <si>
    <t>0120_ALIMERKA_CABAÑAQUINTA/ALLER_AVD.CONSTITUCION</t>
  </si>
  <si>
    <t>RQ-0284282</t>
  </si>
  <si>
    <t>MANILLA PUERTA MURAL QUESOS ROTA</t>
  </si>
  <si>
    <t>0125_ALIMERKA_OVIEDO_SILLA DEL REY</t>
  </si>
  <si>
    <t>PFD-10225-00055</t>
  </si>
  <si>
    <t>desmontaje de mobiliario frigorifico en T125 Silla del Rey, y traslado a vertedero autorizado, vitri</t>
  </si>
  <si>
    <t>0128_ALIMERKA_GIJON_VELAZQUEZ 17</t>
  </si>
  <si>
    <t>P10225004</t>
  </si>
  <si>
    <t>10225_0128 ALIMERKA VELAZQUEZ_FC_INST.FRIO</t>
  </si>
  <si>
    <t>RQ-0285154</t>
  </si>
  <si>
    <t>MURAL LIBRE SERVICIO ENSALADAS HACE RUIDO</t>
  </si>
  <si>
    <t>0130_ALIMERKA_NAVA_LA COLEGIATA S/N</t>
  </si>
  <si>
    <t>RQ-0284119</t>
  </si>
  <si>
    <t xml:space="preserve"> REJILLA SUELTA EN VITRINA DE CHARCU</t>
  </si>
  <si>
    <t>RQ-0285276</t>
  </si>
  <si>
    <t>SALTA AUTM ARCON CONGL. PESCADERIA</t>
  </si>
  <si>
    <t>0131_ALIMERKA_AVILES_AV COLON</t>
  </si>
  <si>
    <t>RQ-0284212</t>
  </si>
  <si>
    <t>ALARMA CÁMARA DE PANADERÍA SALTADA</t>
  </si>
  <si>
    <t>RQ-0285332</t>
  </si>
  <si>
    <t>NEVERA LINEA DE CAJAS A 22º</t>
  </si>
  <si>
    <t>RQ-0285516</t>
  </si>
  <si>
    <t>ISLA PROMOCIONES A 22º Prioridad: 2 - Urgentec</t>
  </si>
  <si>
    <t>0133_ALIMERKA_CANGAS DE ONIS_AV CASTILLA</t>
  </si>
  <si>
    <t>RQ-0284634</t>
  </si>
  <si>
    <t>MURAL LONCHEADOS NO ENFRIA</t>
  </si>
  <si>
    <t>0135_ALIMERKA_GIJON_LA CARBONERA</t>
  </si>
  <si>
    <t>RQ-0285075</t>
  </si>
  <si>
    <t>NEVERA CONGELADO HACE MUCHO RUIDO</t>
  </si>
  <si>
    <t>RQ-0285520</t>
  </si>
  <si>
    <t xml:space="preserve">VITRINA DE CARNICERIA A 8ºy alguna nevera con temperatura más alta de lo normal </t>
  </si>
  <si>
    <t>RQ-0285568</t>
  </si>
  <si>
    <t>AUTOMATICO ARMARIO CONGELADO SALTADO</t>
  </si>
  <si>
    <t>0136_ALIMERKA_GIJON_TORREBERME</t>
  </si>
  <si>
    <t>RQ-0285098</t>
  </si>
  <si>
    <t>CUANDO SE ABRE LA PUERTA DE LA CAMARA DE PANADERIA SUENA UN RUIDO. COMO SI UN VE</t>
  </si>
  <si>
    <t>0138_ALIMERKA_OVIEDO_CARDENAL ALVAREZ</t>
  </si>
  <si>
    <t>RQ-0285053</t>
  </si>
  <si>
    <t>: ARMARIO DE CONGELADO NO FUNCIONA</t>
  </si>
  <si>
    <t>0141_ALIMERKA_SALAS_AV ANTONIO NOVO FERREIRO</t>
  </si>
  <si>
    <t>CLIM-OB</t>
  </si>
  <si>
    <t>PFD-10225-00048</t>
  </si>
  <si>
    <t>El siguiente presupuesto tiene por objeto reformar los conductos de condensación.</t>
  </si>
  <si>
    <t>0142_ALIMERKA_COLUNGA_LORETO</t>
  </si>
  <si>
    <t>RQ-0283938</t>
  </si>
  <si>
    <t>CAMARA PANADERIA HACE RUIDO RARO</t>
  </si>
  <si>
    <t>0144 ALIMERKA NAVIA AS VEIGAS</t>
  </si>
  <si>
    <t>RQ-0284197</t>
  </si>
  <si>
    <t>BLOQUE HIELO EN CAMARA DE PANDERIA</t>
  </si>
  <si>
    <t>RQ-0284405</t>
  </si>
  <si>
    <t>Manilla rota de la cámara de panadería, no la pueden cerrar</t>
  </si>
  <si>
    <t>0145-ALIMERKA_GIJON_ELEUTERIO QUINTANILLA,28</t>
  </si>
  <si>
    <t>RQ-0284160</t>
  </si>
  <si>
    <t>MURAL YOGURES A 11 GRADOS</t>
  </si>
  <si>
    <t>RQ-0284382</t>
  </si>
  <si>
    <t>MURAL YOGURES HACE RUIDO RARO</t>
  </si>
  <si>
    <t>RQ-0284637</t>
  </si>
  <si>
    <t>MURAL DE YOGURES ESTA A 7º</t>
  </si>
  <si>
    <t>RQ-0285010</t>
  </si>
  <si>
    <t>MURAL MANTEQUILLAS NO ENFRIA Prioridad: 1 - Inmediata</t>
  </si>
  <si>
    <t>0146_ALIMERKA_SIERO _URB.LA FRESNEDA EC1</t>
  </si>
  <si>
    <t>RQ-0284790</t>
  </si>
  <si>
    <t>CAMARA DE CHARCUTERIA NO BAJA DE 11º</t>
  </si>
  <si>
    <t>0150_ALIMERKA_POLA DE LAVIANA</t>
  </si>
  <si>
    <t>RQ-0282921</t>
  </si>
  <si>
    <t>Desmontaje muebles y posterior montaje de muebles</t>
  </si>
  <si>
    <t>0151_ALIMERKA_OVIEDO_GONZALEZ BESADA</t>
  </si>
  <si>
    <t>RQ-0284381</t>
  </si>
  <si>
    <t>TUBOS REFRIGERACION GOTEAN.ZONA CHARCU</t>
  </si>
  <si>
    <t>0152_ALIMERKA VILLAVICIOSA II_ALEJANDRO CASONA,11</t>
  </si>
  <si>
    <t>RQ-0285518</t>
  </si>
  <si>
    <t xml:space="preserve">ARMARIOS DE CONGELADO MARCAN ALH Y ESTAN SUBIENDO DE TEMPERATURA Prioridad: 1 - </t>
  </si>
  <si>
    <t>0160_ALIMERKA_COLLOTO_LUIS SUAREZ</t>
  </si>
  <si>
    <t>RQ-0284583</t>
  </si>
  <si>
    <t>SALTA CENTRAL NIVEL BAJO RECIPIENTE Prioridad: 2 - Urgente</t>
  </si>
  <si>
    <t>0161_ALIMERKA_LA FELGUERA_MARIANO GUTIERREZ</t>
  </si>
  <si>
    <t>RQ-0284722</t>
  </si>
  <si>
    <t>MURAL DE HELADOS NO CONGELA</t>
  </si>
  <si>
    <t>RQ-0284801</t>
  </si>
  <si>
    <t>ISLA CONGELAD CON HIELO. PUERTA ROTA</t>
  </si>
  <si>
    <t>0163_ALIMERKA_S.CLAUDIO_CIMADEVILLA</t>
  </si>
  <si>
    <t>RQ-0284719</t>
  </si>
  <si>
    <t>MURAL CONGELADOS ESTA A -4º</t>
  </si>
  <si>
    <t>RQ-0285168</t>
  </si>
  <si>
    <t>ARCON CONGELADO PESCADERIA NO FUNCIONA</t>
  </si>
  <si>
    <t>0164_ALIMERKA_OVIEDO_IBIAS</t>
  </si>
  <si>
    <t>RQ-0285200</t>
  </si>
  <si>
    <t>CAMARA DE CHARCUTERIA NO ENFRIA</t>
  </si>
  <si>
    <t>0165_ALIMERKA_POLA LAVIANA_PELAYO</t>
  </si>
  <si>
    <t>RQ-0284735</t>
  </si>
  <si>
    <t>salta un diferencial en el cuarto frio, y si se sube, salta toda la sala de</t>
  </si>
  <si>
    <t>RQ-0284918</t>
  </si>
  <si>
    <t>SALTA AUTOM. CAMARA PANADERÍA</t>
  </si>
  <si>
    <t>0170_ALIMERKA_PIEDRAS BLANCAS_REY PELAYO</t>
  </si>
  <si>
    <t>FRIN-REP</t>
  </si>
  <si>
    <t>RQ-0283448</t>
  </si>
  <si>
    <t>PUERTAS MURALES CONG. CON HIELO</t>
  </si>
  <si>
    <t>RQ-0284532</t>
  </si>
  <si>
    <t>CAMARA DE PANADERIA HACE MUCHO HIELO</t>
  </si>
  <si>
    <t>RQ-0285400</t>
  </si>
  <si>
    <t>AUTOMATICO ISLA DE HELADOS SALTADO</t>
  </si>
  <si>
    <t>RQ-0285413</t>
  </si>
  <si>
    <t>0172_ALIMERKA_PRAVIA_SANTIAGO LOPEZ</t>
  </si>
  <si>
    <t>RQ-0284667</t>
  </si>
  <si>
    <t>ARMARIO DE CONGELADO NO BAJA DE -5º</t>
  </si>
  <si>
    <t>RQ-0284837</t>
  </si>
  <si>
    <t>TUBERIA TECHO EQUIPOS FRIO PIERDE AGUA</t>
  </si>
  <si>
    <t>RQ-0284951</t>
  </si>
  <si>
    <t>: ARMARIO DE CONGELADO NO BAJA DE -15º</t>
  </si>
  <si>
    <t>0177_ALIMERKA_CANGAS NARCEA_URIA</t>
  </si>
  <si>
    <t>RQ-0284461</t>
  </si>
  <si>
    <t>ISLA DE HELADOS NO ENFRIA</t>
  </si>
  <si>
    <t>0178_ALIMERKA_OVIEDO_BELARMINO CABAL</t>
  </si>
  <si>
    <t>RQ-0284108</t>
  </si>
  <si>
    <t>SALTA CENTRAL POSITIVA</t>
  </si>
  <si>
    <t>RQ-0284471</t>
  </si>
  <si>
    <t>CENTRAL POSITIVA SALTADA, NO REARMA</t>
  </si>
  <si>
    <t>0179_ALIMERKA_OVIEDO_ROSAL</t>
  </si>
  <si>
    <t>RQ-0281896</t>
  </si>
  <si>
    <t>SALTA AUTOMATICO NEVERA ENTRADA</t>
  </si>
  <si>
    <t>0180_ALIMERKA_AVILES_AV GRANDIELLA</t>
  </si>
  <si>
    <t>RQ-0284106</t>
  </si>
  <si>
    <t>MURAL DE YOGURES NO ENFRIA</t>
  </si>
  <si>
    <t>RQ-0284849</t>
  </si>
  <si>
    <t>VITRINA DE CARNICERIA A 11º</t>
  </si>
  <si>
    <t>0181 ALIMERKA PRADO DE LA VEGA</t>
  </si>
  <si>
    <t>RQ-0284300</t>
  </si>
  <si>
    <t>MURAL VERDURAS PITA Y Tª BAJANDO.URGENTE</t>
  </si>
  <si>
    <t>RQ-0285117</t>
  </si>
  <si>
    <t>Congelado a +7ºC</t>
  </si>
  <si>
    <t>0182_ALIMERKA_GIJON_ANDALUCIA</t>
  </si>
  <si>
    <t>RQ-0278405</t>
  </si>
  <si>
    <t>ISLA DE HELADOS PARADA NO ENFRIA</t>
  </si>
  <si>
    <t>0184_ALIMERKA_GRADO_SAN PELAYO</t>
  </si>
  <si>
    <t>RQ-0280211</t>
  </si>
  <si>
    <t xml:space="preserve"> INSTALAR COMPRESOR Nº 3</t>
  </si>
  <si>
    <t>0185_ALIMERKA_GIJON_ELECTRA</t>
  </si>
  <si>
    <t>RQ-0284290</t>
  </si>
  <si>
    <t>NIVEL BAJO RECIPIENTE CENTRAL POSITIVO</t>
  </si>
  <si>
    <t>RQ-0284587</t>
  </si>
  <si>
    <t>CENTRAL POSITIVA SALTADA</t>
  </si>
  <si>
    <t>0186_ALIMERKA_OVIEDO_VILLAFRIA</t>
  </si>
  <si>
    <t>RQ-0284580</t>
  </si>
  <si>
    <t>CAMARA DE PANADERIA NO BAJA DE -2º Prioridad: 1 - Inmediata</t>
  </si>
  <si>
    <t>RQ-0284597</t>
  </si>
  <si>
    <t>TERMOSTATO VITRINA CHARCUTERIA NO FUNCIONA</t>
  </si>
  <si>
    <t>0187_ALIMERKA_OVIEDO_FONCALADA 15-17</t>
  </si>
  <si>
    <t>RQ-0282920</t>
  </si>
  <si>
    <t xml:space="preserve">Desmontaje muebles. </t>
  </si>
  <si>
    <t>0189_ALIMERKA_LLANES_CARLOS SAENZ</t>
  </si>
  <si>
    <t>RQ-0283943</t>
  </si>
  <si>
    <t>0191_ALIMERKA_GIJON_CORTIJO</t>
  </si>
  <si>
    <t>RQ-0285505</t>
  </si>
  <si>
    <t>ISLA PROMOCIONES NO ENFRIA Prioridad: 3 - Preferente</t>
  </si>
  <si>
    <t>0193_ALIMERKA_GIJON_GUIPUZCOA</t>
  </si>
  <si>
    <t>RQ-0284015</t>
  </si>
  <si>
    <t>SALTO CENTRAL NEGATIVA.CAM PANA A -7º</t>
  </si>
  <si>
    <t>RQ-0284513</t>
  </si>
  <si>
    <t>CAMARA DE PANADERIA A 0º</t>
  </si>
  <si>
    <t>RQ-0284841</t>
  </si>
  <si>
    <t>COLOCAR CRISTAL ROTO EN ISLA PROMOCIONAL</t>
  </si>
  <si>
    <t>0194_ALIMERKA_SIERO_ANTONIO MACHADO</t>
  </si>
  <si>
    <t>RQ-0284446</t>
  </si>
  <si>
    <t>TODO EL CONGELADO EN POSITIVO</t>
  </si>
  <si>
    <t>RQ-0284586</t>
  </si>
  <si>
    <t>PLETINA ARRANQUE PUERTA CAMARA PANADERIA</t>
  </si>
  <si>
    <t>RQ-0284740</t>
  </si>
  <si>
    <t>Una parte de mural de yogures, no esta funcionando una parte entera, no pueden</t>
  </si>
  <si>
    <t>0196_ALIMERKA_GIJON_DRUGSTORE_DONATO ARGÜELLES, 16</t>
  </si>
  <si>
    <t>RQ-0284210</t>
  </si>
  <si>
    <t>VITRINA CARNI ESTA A 4,5º</t>
  </si>
  <si>
    <t>0198_ALIMERKA CORVERA ASTURIAS</t>
  </si>
  <si>
    <t>RQ-0285156</t>
  </si>
  <si>
    <t>ISLA DE CONGELADO NO FUNCIONAY OTRA ISLA NO BAJA DE -5º</t>
  </si>
  <si>
    <t>0531_ALIMERKA_VALENCIA D JUAN</t>
  </si>
  <si>
    <t>RQ-0285173</t>
  </si>
  <si>
    <t>SUMINISTRO ARCON JRA420E</t>
  </si>
  <si>
    <t>FIS</t>
  </si>
  <si>
    <t>P10226001</t>
  </si>
  <si>
    <t>10225_ALIMERKA_COMPRA DE GAS R449A 2025</t>
  </si>
  <si>
    <t>RQ-0282961</t>
  </si>
  <si>
    <t>SUMINISTRO TURBINAS STOCK CRITICO MOD.56 Y 63</t>
  </si>
  <si>
    <t>RQ-0283566</t>
  </si>
  <si>
    <t xml:space="preserve">para sacar muebles de luanco </t>
  </si>
  <si>
    <t>RQ-0284489</t>
  </si>
  <si>
    <t>vaciado muebles luanco</t>
  </si>
  <si>
    <t>GR031</t>
  </si>
  <si>
    <t>GRUPO CARREFOUR EXPRESS/MARKET</t>
  </si>
  <si>
    <t>C00684</t>
  </si>
  <si>
    <t>SUPERMERCADOS CHAMPION, S.A.</t>
  </si>
  <si>
    <t>CARREFOUR EXPRESS 6020 SANTANDER - MONASTERIO</t>
  </si>
  <si>
    <t>CON-102-0387</t>
  </si>
  <si>
    <t>MTO FC CRF MARKET SANTANDER 23-27</t>
  </si>
  <si>
    <t>PFD-10225-00060</t>
  </si>
  <si>
    <t>C.E. SANTANDER - COMPRESOR CN1 CAMARA CONGELACION PLS - PTO-10225-00137</t>
  </si>
  <si>
    <t>RQ-0272171</t>
  </si>
  <si>
    <t>cristal cabecera carniceria está roto</t>
  </si>
  <si>
    <t>RQ-0281449</t>
  </si>
  <si>
    <t xml:space="preserve">La puerta de congelado no cierra bien \r\nNecesitamos revisar </t>
  </si>
  <si>
    <t>RQ-0282096</t>
  </si>
  <si>
    <t>Revisar el lineal de congelado,\r\nEstá haciendo charco en el suelo</t>
  </si>
  <si>
    <t>RQ-0284370</t>
  </si>
  <si>
    <t>RQ-0284374</t>
  </si>
  <si>
    <t xml:space="preserve">- Faldones delanteros y perfil blanco de vitrina de carnicería Exkal 2,5 mts </t>
  </si>
  <si>
    <t>CARREFOUR STONE TORRELAVEGA - 7119</t>
  </si>
  <si>
    <t>CON-102-0388</t>
  </si>
  <si>
    <t>MTO FC CRF SUPECO TORRELAVEGA 23-27</t>
  </si>
  <si>
    <t>GR032</t>
  </si>
  <si>
    <t>GRUPO CARREFOUR HIPERS/MINIS</t>
  </si>
  <si>
    <t>C00685</t>
  </si>
  <si>
    <t>C.C. CARREFOUR, S.A.</t>
  </si>
  <si>
    <t>CARREFOUR AZABACHE - 0063</t>
  </si>
  <si>
    <t>CON-102-0378</t>
  </si>
  <si>
    <t>MTO FC FULL N CRF AZABACHE 23-27</t>
  </si>
  <si>
    <t>CON-102-0417</t>
  </si>
  <si>
    <t>MTO CL CRF AZABACHE</t>
  </si>
  <si>
    <t>PFD-10225-00040</t>
  </si>
  <si>
    <t>CARREFOUR AZABACHE - MONTAJE REGISTRADORES CONTROL METROLOGICO OPCION ELIWELL - PTO-10225-00058</t>
  </si>
  <si>
    <t>RQ-0271714</t>
  </si>
  <si>
    <t xml:space="preserve">nueve servicios en alarma en el termostato , E10 , 629 04 93 61 Raul </t>
  </si>
  <si>
    <t>RQ-0280091</t>
  </si>
  <si>
    <t>mural lp15b con derivaciom</t>
  </si>
  <si>
    <t>RQ-0281428</t>
  </si>
  <si>
    <t>Cambiar ventilador LP13C</t>
  </si>
  <si>
    <t>RQ-0282040</t>
  </si>
  <si>
    <t>REVISION Y REPARACION MAQUINA DE CLIMA DE RRHH</t>
  </si>
  <si>
    <t>RQ-0283986</t>
  </si>
  <si>
    <t>Mural postres LP14A no enfria</t>
  </si>
  <si>
    <t>RQ-0284019</t>
  </si>
  <si>
    <t>Vivero de marizcos, no funciona ventilador del condensador</t>
  </si>
  <si>
    <t>RQ-0284073</t>
  </si>
  <si>
    <t>Sonda vivero marca mal</t>
  </si>
  <si>
    <t>RQ-0285085</t>
  </si>
  <si>
    <t>Revision climatizacion</t>
  </si>
  <si>
    <t>RQ-0285442</t>
  </si>
  <si>
    <t>Puerta de camara de congelado esta descongada</t>
  </si>
  <si>
    <t>CARREFOUR EL ALISAL (SANTANDER) - 0130</t>
  </si>
  <si>
    <t>CON-102-0406</t>
  </si>
  <si>
    <t>GAR_19922_CRF CARREFOUR EL ALISAL_CAMBIO CENTRAL FRIO</t>
  </si>
  <si>
    <t>Garantía</t>
  </si>
  <si>
    <t>CON-102-0413</t>
  </si>
  <si>
    <t>MTO FC FULL CO2 CRF EL ALISAL SANTANDER</t>
  </si>
  <si>
    <t>RQ-0284991</t>
  </si>
  <si>
    <t>detector co2 camara cp11 pitando continuo , 645 87 98 37</t>
  </si>
  <si>
    <t>CARREFOUR HIPER MIERES (0233)</t>
  </si>
  <si>
    <t>CON-102-0421</t>
  </si>
  <si>
    <t>MTO CL CRF MIERES</t>
  </si>
  <si>
    <t>CON-102-0446</t>
  </si>
  <si>
    <t>MTO FC FULL CO2 CRF MIERES</t>
  </si>
  <si>
    <t>CON-102-0453</t>
  </si>
  <si>
    <t>GAR_19925_CRF MIERES_FC_REFORMA INTEGRAL R744</t>
  </si>
  <si>
    <t>RQ-0282380</t>
  </si>
  <si>
    <t xml:space="preserve">camara positivo en alarma , 606 97 68 47 </t>
  </si>
  <si>
    <t>RQ-0285399</t>
  </si>
  <si>
    <t>Revisar máquinas de clima</t>
  </si>
  <si>
    <t>CARREFOUR LA CALZADA (GIJON) - 0045</t>
  </si>
  <si>
    <t>CON-102-0377</t>
  </si>
  <si>
    <t>MTO FC FULL N CRF LA CALZADA 23-27</t>
  </si>
  <si>
    <t>CON-102-0416</t>
  </si>
  <si>
    <t>MTO CL CRF LA CALZADA</t>
  </si>
  <si>
    <t>RQ-0277104</t>
  </si>
  <si>
    <t xml:space="preserve">LN2 . Diferencia b y c no rearman , corresponden a resistencias antivaho </t>
  </si>
  <si>
    <t>CARREFOUR LOS FRESNOS (GIJON) - 0095</t>
  </si>
  <si>
    <t>CON-102-0379</t>
  </si>
  <si>
    <t>MTO FC FULL N CRF LOS FRESNOS 23-27</t>
  </si>
  <si>
    <t>CON-102-0418</t>
  </si>
  <si>
    <t>MTO CL CRF LOS FRESNOS</t>
  </si>
  <si>
    <t>PFD-10225-00062</t>
  </si>
  <si>
    <t>CARREFOUR LOS FRESNOS - SUST. ALARMA GASES CAMARA POSITIVA Nº 15 PANADERIA - PTO-10225-00063/R001</t>
  </si>
  <si>
    <t>PFD-10225-00063</t>
  </si>
  <si>
    <t>CARREFOUR LOS FRESNOS - SUST. ALARMA GASES CAMARA NEGATIVA CN3 - PTO-10225-00062/R001</t>
  </si>
  <si>
    <t>RQ-0263968</t>
  </si>
  <si>
    <t>REPARAR ENFRIADORA SALTA AUTOMATICO</t>
  </si>
  <si>
    <t>RQ-0276850</t>
  </si>
  <si>
    <t>SUMINISTRO ENGRASADORES AUTOMATICOS</t>
  </si>
  <si>
    <t>RQ-0280875</t>
  </si>
  <si>
    <t>autonoma pierde agua detras sushi</t>
  </si>
  <si>
    <t>RQ-0282283</t>
  </si>
  <si>
    <t>reparacion y limpuieza torres</t>
  </si>
  <si>
    <t>RQ-0282586</t>
  </si>
  <si>
    <t>REVISAR TORRES</t>
  </si>
  <si>
    <t>RQ-0283489</t>
  </si>
  <si>
    <t>problemas con las enfriadoras de climatizacion, enf 1 alta presion circuito 1</t>
  </si>
  <si>
    <t>RQ-0283758</t>
  </si>
  <si>
    <t>INSTALAR PIEZAS COMPRESOR Nº 2 DE NEGATIVA</t>
  </si>
  <si>
    <t>RQ-0284630</t>
  </si>
  <si>
    <t>INSTALAR CONTROLES DE VALVULA PARA ENFRIADORA</t>
  </si>
  <si>
    <t>RQ-0285074</t>
  </si>
  <si>
    <t>REVISAR ENFRIADORA Nº2</t>
  </si>
  <si>
    <t>RQ-0285281</t>
  </si>
  <si>
    <t xml:space="preserve">reparacion torres </t>
  </si>
  <si>
    <t>CARREFOUR LOS PRADOS (ASTURIAS) - 0122</t>
  </si>
  <si>
    <t>CON-102-0403</t>
  </si>
  <si>
    <t>GAR_19923_CRF LOS PRADOS_FC_REFORMA INTEGRAL R744</t>
  </si>
  <si>
    <t>CON-102-0404</t>
  </si>
  <si>
    <t>MTO FC FULL CO2 CRF OVIEDO LOS PRADOS 23-27</t>
  </si>
  <si>
    <t>CON-102-0420</t>
  </si>
  <si>
    <t>MTO CL CRF  LOS PRADOS</t>
  </si>
  <si>
    <t>RQ-0277664</t>
  </si>
  <si>
    <t>Fabricador de hielo no funciona, salta diferencial</t>
  </si>
  <si>
    <t>RQ-0281014</t>
  </si>
  <si>
    <t>Cámara servicio a domicilio no enfría</t>
  </si>
  <si>
    <t>RQ-0282188</t>
  </si>
  <si>
    <t>autonoma gambon tira el diferencial</t>
  </si>
  <si>
    <t>RQ-0283437</t>
  </si>
  <si>
    <t>Revisar una puerta de camara de Pollo</t>
  </si>
  <si>
    <t>RQ-0283902</t>
  </si>
  <si>
    <t>SUMINISTRO DE TRES SACOS DE SAL DE 25 KG SEGUN PETICION</t>
  </si>
  <si>
    <t>RQ-0284725</t>
  </si>
  <si>
    <t>Muebles sin comunicación</t>
  </si>
  <si>
    <t>RQ-0284755</t>
  </si>
  <si>
    <t>cambiar un ventilador del condensador del fabricador de hielo</t>
  </si>
  <si>
    <t>RQ-0284825</t>
  </si>
  <si>
    <t>REVISAR DESAGÜE CAMARA REFRIGERACION ONLINE</t>
  </si>
  <si>
    <t>CARREFOUR PARQUE ASTUR AVILES - 0119</t>
  </si>
  <si>
    <t>CON-102-0419</t>
  </si>
  <si>
    <t>MTO CL CRF PARQUE ASTUR</t>
  </si>
  <si>
    <t>RQ-0282272</t>
  </si>
  <si>
    <t>climatizadora, no funciona el frio de la sala Sinc</t>
  </si>
  <si>
    <t>CARREFOUR TORRELAVEGA (CANTABRIA) - 0043</t>
  </si>
  <si>
    <t>CON-102-0383</t>
  </si>
  <si>
    <t>MTO FC CRF TORRELAVEGA 23-27</t>
  </si>
  <si>
    <t>CARREFOUR VALLE REAL SANTANDER 0223</t>
  </si>
  <si>
    <t>CON-102-0386</t>
  </si>
  <si>
    <t>MTO FC CRF SANTANDER 23-27</t>
  </si>
  <si>
    <t>FRCO-VD</t>
  </si>
  <si>
    <t>PFD-10225-00036</t>
  </si>
  <si>
    <t>CARREFOUR VALLE REAL - SUMINISTRO PUERTA ARMARIO CARRIER - PTO-10225-00048</t>
  </si>
  <si>
    <t>GR033</t>
  </si>
  <si>
    <t>GRUPO EROSKI SUPERS</t>
  </si>
  <si>
    <t>C00689</t>
  </si>
  <si>
    <t>VEGO SUPERMERCADOS S.A.U</t>
  </si>
  <si>
    <t>FAMILIA NAVIA - 3283</t>
  </si>
  <si>
    <t>RQ-0282047</t>
  </si>
  <si>
    <t>MAQUINA DE HIELO</t>
  </si>
  <si>
    <t>RQ-0283623</t>
  </si>
  <si>
    <t>obrador de carne sin frio , camara de charcu , vitrina de carne todo eso sin fri</t>
  </si>
  <si>
    <t>FAMILIA PRAVIA - 3288</t>
  </si>
  <si>
    <t>PFD-10225-00057</t>
  </si>
  <si>
    <t>Suministro e instalación de un fabricador de hielo autónomo</t>
  </si>
  <si>
    <t>RQ-0283767</t>
  </si>
  <si>
    <t>SALTA DIFERENCIAL CON DOS NEVEGAS DE CONGELADO QUE SE HAN AVERIADO.AVISA JULIO</t>
  </si>
  <si>
    <t>RQ-0283815</t>
  </si>
  <si>
    <t>SUMINISTRO E INSTALACION FOTOCELULA FABRICADOR HIELO BREMA</t>
  </si>
  <si>
    <t>GR021</t>
  </si>
  <si>
    <t>GRUPO LOFRIASTUR</t>
  </si>
  <si>
    <t>C00025</t>
  </si>
  <si>
    <t>LOFRIASTUR, S.L.U</t>
  </si>
  <si>
    <t>MATADERO CENTRAL NOREÑA-LOFRIASTUR</t>
  </si>
  <si>
    <t>RQ-0284251</t>
  </si>
  <si>
    <t>DESMONTAJE DE BOMBA</t>
  </si>
  <si>
    <t>RQ-0285126</t>
  </si>
  <si>
    <t>Está la negativa saltada y no rearma. Servicios de negativa llegando casi a posi</t>
  </si>
  <si>
    <t>RQ-0287013</t>
  </si>
  <si>
    <t>Lofriastur. Instalar bomba de aceite</t>
  </si>
  <si>
    <t>C00026</t>
  </si>
  <si>
    <t>SERINCAR 92, S.L.</t>
  </si>
  <si>
    <t>MATADERO CENTRAL NOREÑA - SERINCAR</t>
  </si>
  <si>
    <t>RQ-0279762</t>
  </si>
  <si>
    <t>Estamos sin frío en toda la planta. Compresores saltan constantemente</t>
  </si>
  <si>
    <t>RQ-0280191</t>
  </si>
  <si>
    <t xml:space="preserve">compresor 3 no le cambia para entrar a positiva , solo en negativa </t>
  </si>
  <si>
    <t>RQ-0282730</t>
  </si>
  <si>
    <t>Camara congelado bitempera averiada, en positivo</t>
  </si>
  <si>
    <t>RQ-0284135</t>
  </si>
  <si>
    <t>SACAR MOTOR ELECTRICO DE BOMBA ACEITE COMPRESOR Nº4</t>
  </si>
  <si>
    <t>RQ-0284426</t>
  </si>
  <si>
    <t xml:space="preserve">Lofriastur. Instalar bomba de aceite. </t>
  </si>
  <si>
    <t>RQ-0285333</t>
  </si>
  <si>
    <t>No arrancan los compresores de positiva</t>
  </si>
  <si>
    <t>RQ-0285446</t>
  </si>
  <si>
    <t xml:space="preserve">Fuga grande amoniaco en sala de maquinas </t>
  </si>
  <si>
    <t>GR006</t>
  </si>
  <si>
    <t>GRUPO MAKRO</t>
  </si>
  <si>
    <t>C00539</t>
  </si>
  <si>
    <t>MAKRO DISTRIBUCION MAYORISTA, S.A.U.</t>
  </si>
  <si>
    <t>MAKRO ASTURIAS</t>
  </si>
  <si>
    <t>CON-102-0176</t>
  </si>
  <si>
    <t>MNTO MAKRO ASTURIAS FC</t>
  </si>
  <si>
    <t>CON-102-0450</t>
  </si>
  <si>
    <t>GAR_10224_MAKRO OVIEDO_FC_REFORMA INTEGRAL</t>
  </si>
  <si>
    <t>RQ-0284463</t>
  </si>
  <si>
    <t>Prueba de acidez</t>
  </si>
  <si>
    <t>RQ-0284566</t>
  </si>
  <si>
    <t>revisar camara de congelado</t>
  </si>
  <si>
    <t>C05203</t>
  </si>
  <si>
    <t>JESUS PEREZ MAYOR,S.L.</t>
  </si>
  <si>
    <t>EMBUTIDOS JP NOREÑA</t>
  </si>
  <si>
    <t>RQ-0282387</t>
  </si>
  <si>
    <t xml:space="preserve">Revisar termostato cámara de frío positivo del almacén y tomar datos coquilla </t>
  </si>
  <si>
    <t>C05818</t>
  </si>
  <si>
    <t>PEÑA LA DEVA S.L.</t>
  </si>
  <si>
    <t>BARCO LUSCINDA</t>
  </si>
  <si>
    <t>RQ-0284130</t>
  </si>
  <si>
    <t>REVISAR FABRICADOR DE HIELO, ESTA PERDIENDO EL GAS</t>
  </si>
  <si>
    <t>C00495</t>
  </si>
  <si>
    <t>QUALIANZA SERVICIOS INTEGRALES DE DISTRIBUCION SL</t>
  </si>
  <si>
    <t>QUALIANZA - SANTANDER</t>
  </si>
  <si>
    <t>CON-102-0389</t>
  </si>
  <si>
    <t>MTO FC QUALIANZA SANTANDER</t>
  </si>
  <si>
    <t>C01808</t>
  </si>
  <si>
    <t>RITTAL, SA</t>
  </si>
  <si>
    <t>RITTAL ASTURIAS</t>
  </si>
  <si>
    <t>RQ-0281373</t>
  </si>
  <si>
    <t>REVISION EQUIPO SK3310740 - CARTONAJES VIR-</t>
  </si>
  <si>
    <t>C01459</t>
  </si>
  <si>
    <t>SERVICIO DE SALUD DEL PRINCIPADO DE ASTURIAS</t>
  </si>
  <si>
    <t>HOSPITAL UNIVERSITARIO CENTRAL DE ASTURIAS</t>
  </si>
  <si>
    <t>HOST-REP</t>
  </si>
  <si>
    <t>RQ-0284994</t>
  </si>
  <si>
    <t>SUMINISTRO PASTILLAS SEGUN PETICION</t>
  </si>
  <si>
    <t>C05309</t>
  </si>
  <si>
    <t>UTE CIVIS GLOBAL SLU Y COFRICO SL</t>
  </si>
  <si>
    <t>LONJA SAN VICENTE BARQUERA</t>
  </si>
  <si>
    <t>CON-102-0424</t>
  </si>
  <si>
    <t>GAR_19924_UTE CIVIS COFRICO_FI_LONJA SAN VICENTE DE LA BARQUERA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</si>
</sst>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  <xf numFmtId="14" fontId="0" fillId="34" borderId="0" xfId="0" applyNumberFormat="1" applyFill="1"/>
    <xf numFmtId="44" fontId="0" fillId="34" borderId="0" xfId="1" applyFont="1" applyFill="1"/>
    <xf numFmtId="44" fontId="1" fillId="34" borderId="0" xfId="1" applyNumberFormat="1" applyFont="1" applyFill="1"/>
    <xf numFmtId="9" fontId="0" fillId="34" borderId="0" xfId="2" applyFont="1" applyFill="1"/>
  </cellXfs>
  <cellStyles count="44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oneda" xfId="1" builtinId="4"/>
    <cellStyle name="Neutral" xfId="10" builtinId="28" customBuiltin="1"/>
    <cellStyle name="Normal" xfId="0" builtinId="0"/>
    <cellStyle name="Notas" xfId="17" builtinId="10" customBuiltin="1"/>
    <cellStyle name="Porcentaje" xfId="2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5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0070C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70C0"/>
        </patternFill>
      </fill>
    </dxf>
    <dxf>
      <fill>
        <patternFill patternType="solid">
          <fgColor indexed="64"/>
          <bgColor rgb="FF0070C0"/>
        </patternFill>
      </fill>
    </dxf>
    <dxf>
      <fill>
        <patternFill patternType="solid">
          <fgColor indexed="64"/>
          <bgColor rgb="FF0070C0"/>
        </patternFill>
      </fill>
    </dxf>
    <dxf>
      <fill>
        <patternFill patternType="solid">
          <fgColor indexed="64"/>
          <bgColor rgb="FF0070C0"/>
        </patternFill>
      </fill>
    </dxf>
    <dxf>
      <fill>
        <patternFill patternType="solid">
          <fgColor indexed="64"/>
          <bgColor rgb="FF0070C0"/>
        </patternFill>
      </fill>
    </dxf>
    <dxf>
      <fill>
        <patternFill patternType="solid">
          <fgColor indexed="64"/>
          <bgColor rgb="FF0070C0"/>
        </patternFill>
      </fill>
    </dxf>
    <dxf>
      <fill>
        <patternFill patternType="solid">
          <fgColor indexed="64"/>
          <bgColor rgb="FF0070C0"/>
        </patternFill>
      </fill>
    </dxf>
    <dxf>
      <fill>
        <patternFill patternType="solid">
          <fgColor indexed="64"/>
          <bgColor rgb="FF0070C0"/>
        </patternFill>
      </fill>
    </dxf>
    <dxf>
      <fill>
        <patternFill patternType="solid">
          <fgColor indexed="64"/>
          <bgColor rgb="FF0070C0"/>
        </patternFill>
      </fill>
    </dxf>
    <dxf>
      <fill>
        <patternFill patternType="solid">
          <fgColor indexed="64"/>
          <bgColor rgb="FF0070C0"/>
        </patternFill>
      </fill>
    </dxf>
    <dxf>
      <fill>
        <patternFill patternType="solid">
          <fgColor indexed="64"/>
          <bgColor rgb="FF0070C0"/>
        </patternFill>
      </fill>
    </dxf>
    <dxf>
      <fill>
        <patternFill patternType="solid">
          <fgColor indexed="64"/>
          <bgColor rgb="FF0070C0"/>
        </patternFill>
      </fill>
    </dxf>
    <dxf>
      <fill>
        <patternFill patternType="solid">
          <fgColor indexed="64"/>
          <bgColor rgb="FF0070C0"/>
        </patternFill>
      </fill>
    </dxf>
    <dxf>
      <fill>
        <patternFill patternType="solid">
          <fgColor indexed="64"/>
          <bgColor rgb="FF0070C0"/>
        </patternFill>
      </fill>
    </dxf>
    <dxf>
      <fill>
        <patternFill patternType="solid">
          <fgColor indexed="64"/>
          <bgColor rgb="FF0070C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70C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70C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70C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0070C0"/>
        </patternFill>
      </fill>
    </dxf>
    <dxf>
      <fill>
        <patternFill patternType="solid">
          <fgColor indexed="64"/>
          <bgColor rgb="FF0070C0"/>
        </patternFill>
      </fill>
    </dxf>
    <dxf>
      <fill>
        <patternFill patternType="solid">
          <fgColor indexed="64"/>
          <bgColor rgb="FF0070C0"/>
        </patternFill>
      </fill>
    </dxf>
    <dxf>
      <fill>
        <patternFill patternType="solid">
          <fgColor indexed="64"/>
          <bgColor rgb="FF0070C0"/>
        </patternFill>
      </fill>
    </dxf>
    <dxf>
      <fill>
        <patternFill patternType="solid">
          <fgColor indexed="64"/>
          <bgColor rgb="FF0070C0"/>
        </patternFill>
      </fill>
    </dxf>
    <dxf>
      <fill>
        <patternFill patternType="solid">
          <fgColor indexed="64"/>
          <bgColor rgb="FF0070C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€&quot;_-;\-* #,##0.00\ &quot;€&quot;_-;_-* &quot;-&quot;??\ &quot;€&quot;_-;_-@_-"/>
      <fill>
        <patternFill patternType="solid">
          <fgColor indexed="64"/>
          <bgColor rgb="FF0070C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0070C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0070C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0070C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0070C0"/>
        </patternFill>
      </fill>
    </dxf>
    <dxf>
      <fill>
        <patternFill patternType="solid">
          <fgColor indexed="64"/>
          <bgColor rgb="FF0070C0"/>
        </patternFill>
      </fill>
    </dxf>
    <dxf>
      <fill>
        <patternFill patternType="solid">
          <fgColor indexed="64"/>
          <bgColor rgb="FF0070C0"/>
        </patternFill>
      </fill>
    </dxf>
    <dxf>
      <fill>
        <patternFill patternType="solid">
          <fgColor indexed="64"/>
          <bgColor rgb="FF0070C0"/>
        </patternFill>
      </fill>
    </dxf>
    <dxf>
      <numFmt numFmtId="164" formatCode="dd/mm/yyyy"/>
      <fill>
        <patternFill patternType="solid">
          <fgColor indexed="64"/>
          <bgColor rgb="FF0070C0"/>
        </patternFill>
      </fill>
    </dxf>
    <dxf>
      <numFmt numFmtId="164" formatCode="dd/mm/yyyy"/>
    </dxf>
    <dxf>
      <fill>
        <patternFill patternType="solid">
          <fgColor indexed="64"/>
          <bgColor rgb="FF0070C0"/>
        </patternFill>
      </fill>
    </dxf>
    <dxf>
      <numFmt numFmtId="164" formatCode="dd/mm/yyyy"/>
      <fill>
        <patternFill patternType="solid">
          <fgColor indexed="64"/>
          <bgColor rgb="FF0070C0"/>
        </patternFill>
      </fill>
    </dxf>
    <dxf>
      <numFmt numFmtId="164" formatCode="dd/mm/yyyy"/>
    </dxf>
    <dxf>
      <fill>
        <patternFill patternType="solid">
          <fgColor indexed="64"/>
          <bgColor rgb="FF0070C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0070C0"/>
        </patternFill>
      </fill>
    </dxf>
    <dxf>
      <fill>
        <patternFill patternType="solid">
          <fgColor indexed="64"/>
          <bgColor rgb="FF0070C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0070C0"/>
        </patternFill>
      </fill>
    </dxf>
    <dxf>
      <fill>
        <patternFill patternType="solid">
          <fgColor indexed="64"/>
          <bgColor rgb="FF0070C0"/>
        </patternFill>
      </fill>
    </dxf>
    <dxf>
      <fill>
        <patternFill patternType="solid">
          <fgColor indexed="64"/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52274B-08B8-4A76-BB4C-C55B6636C082}" name="Tabla1" displayName="Tabla1" ref="A1:AV288" totalsRowCount="1">
  <autoFilter ref="A1:AV287" xr:uid="{9752274B-08B8-4A76-BB4C-C55B6636C082}">
    <filterColumn colId="8">
      <filters>
        <filter val="Proyecto"/>
      </filters>
    </filterColumn>
  </autoFilter>
  <tableColumns count="48">
    <tableColumn id="1" xr3:uid="{2FC171E1-EB0A-4282-A8A0-29F7AE5A182C}" name="Planta"/>
    <tableColumn id="2" xr3:uid="{220415D0-FA03-43DD-A8D9-30F38069DE7A}" name="Cod_grupo"/>
    <tableColumn id="3" xr3:uid="{68CFC71E-6FD7-4E8D-AFB2-B64FA0BE4CFB}" name="Nom_grupo"/>
    <tableColumn id="4" xr3:uid="{A8B9D99F-C9EF-49F0-AA0A-950B9FEDD169}" name="Cod_cliente"/>
    <tableColumn id="5" xr3:uid="{ABB54CDA-A470-47D9-B13C-3886020EC931}" name="Nom_cliente"/>
    <tableColumn id="6" xr3:uid="{78F38B4A-363E-4C0F-B2A7-973FD653F907}" name="Cod_centro"/>
    <tableColumn id="7" xr3:uid="{3FEE2522-8E1A-403A-AC41-9557CC0A5E06}" name="Nom_centro" totalsRowDxfId="52"/>
    <tableColumn id="8" xr3:uid="{B3FCB194-042D-4079-8299-341B8C606749}" name="Lin_negocio" totalsRowDxfId="51"/>
    <tableColumn id="9" xr3:uid="{92251D73-71CD-44BB-A9EB-5D69C2886F8F}" name="Tipo" totalsRowDxfId="50"/>
    <tableColumn id="10" xr3:uid="{D72D2FBE-D22C-409F-95CE-494F7FE07758}" name="Número" dataDxfId="49" totalsRowDxfId="48"/>
    <tableColumn id="11" xr3:uid="{6A147D1E-1512-459E-A1B0-666F305100E8}" name="Nombre" totalsRowDxfId="47"/>
    <tableColumn id="12" xr3:uid="{1D734771-2BC7-4F0C-B151-FB2F438FE00A}" name="Estado" dataDxfId="46" totalsRowDxfId="45"/>
    <tableColumn id="13" xr3:uid="{38DE4FBD-7A72-4677-B65C-620935FCFBE1}" name="Apertura" dataDxfId="44" totalsRowDxfId="43"/>
    <tableColumn id="14" xr3:uid="{3952975D-1A74-4539-9864-02888CACB56A}" name="Cierre" totalsRowDxfId="42"/>
    <tableColumn id="15" xr3:uid="{09AB82F8-B848-4AC5-80B6-7A87ED7F002E}" name="Ult_factura" dataDxfId="41" totalsRowDxfId="40"/>
    <tableColumn id="16" xr3:uid="{1E2A8358-FD34-4FEB-9FBD-8C848AF16D44}" name="Categoría" totalsRowDxfId="39"/>
    <tableColumn id="17" xr3:uid="{3E4C2F9F-E756-4428-ACC1-D067B4AC4A6D}" name="Pres_venta" totalsRowDxfId="38"/>
    <tableColumn id="18" xr3:uid="{33C49605-00F6-4149-894E-C428FEA7ADC5}" name="Pres_coste" totalsRowDxfId="37"/>
    <tableColumn id="19" xr3:uid="{32C7CEB8-CC95-4A96-86B4-2469DE3B44F2}" name="Ingreso" totalsRowDxfId="36"/>
    <tableColumn id="20" xr3:uid="{CCB8CC91-EA7D-497A-AEC5-1F6C58A75762}" name="Venta_pend_alb" totalsRowFunction="sum" dataDxfId="35" totalsRowDxfId="34"/>
    <tableColumn id="21" xr3:uid="{2BF35366-B400-4C9B-9DAC-64EC59FA67C5}" name="Venta_pend_ped" totalsRowFunction="sum" dataDxfId="33" totalsRowDxfId="32"/>
    <tableColumn id="22" xr3:uid="{167768BC-343A-40DE-B832-BD6523367FF5}" name="Venta_pend_fac" totalsRowFunction="sum" dataDxfId="31" totalsRowDxfId="30"/>
    <tableColumn id="23" xr3:uid="{BC655F0F-9EE5-402D-9A69-96939EB1064A}" name="Venta" totalsRowFunction="sum" dataDxfId="29" totalsRowDxfId="28" totalsRowCellStyle="Moneda"/>
    <tableColumn id="24" xr3:uid="{C8A911C1-76EA-406F-96EE-DB6D1834DE13}" name="Coste_lanzado" totalsRowDxfId="27"/>
    <tableColumn id="25" xr3:uid="{6DDC09A2-25CD-423C-A469-BC81B5520832}" name="Coste_MT" totalsRowDxfId="26"/>
    <tableColumn id="26" xr3:uid="{452E5A7E-46F1-41E1-9946-737177056124}" name="Coste_SR" totalsRowDxfId="25"/>
    <tableColumn id="27" xr3:uid="{ADCD2A64-3654-44AF-96B0-11DEF1B1772D}" name="Coste_MN" totalsRowDxfId="24"/>
    <tableColumn id="28" xr3:uid="{84A0A3FA-A435-4445-89AC-9EFA9EF52048}" name="Coste_DS" totalsRowDxfId="23"/>
    <tableColumn id="29" xr3:uid="{99A29DA5-8683-4E48-9940-09BA8F3985D0}" name="Coste_OT" totalsRowDxfId="22"/>
    <tableColumn id="30" xr3:uid="{4913EE94-F445-4D1A-9A26-F928B203975E}" name="Coste" totalsRowFunction="sum" dataDxfId="21" totalsRowDxfId="20" totalsRowCellStyle="Moneda"/>
    <tableColumn id="31" xr3:uid="{59813B31-E9F6-4935-A307-60835FCBE49D}" name="Margen" totalsRowFunction="sum" totalsRowDxfId="19" totalsRowCellStyle="Moneda"/>
    <tableColumn id="32" xr3:uid="{586F577C-0DC4-42C1-905B-475EA66C8C01}" name="Margen_%_vta" totalsRowFunction="custom" totalsRowDxfId="18" totalsRowCellStyle="Porcentaje">
      <totalsRowFormula>Tabla1[[#Totals],[Margen]]/Tabla1[[#Totals],[Venta]]</totalsRowFormula>
    </tableColumn>
    <tableColumn id="33" xr3:uid="{CD9C40FB-813C-498B-940A-5E9EE6EAB4FB}" name="Margen_2" totalsRowDxfId="17"/>
    <tableColumn id="34" xr3:uid="{CC81F3CE-81E7-42EC-82E4-BA50C1AE883D}" name="Margen_2_%_vta" totalsRowDxfId="16"/>
    <tableColumn id="35" xr3:uid="{CD310D6E-4B4B-47B2-AD6F-11717AB6A4D3}" name="Horas_prev" totalsRowDxfId="15"/>
    <tableColumn id="36" xr3:uid="{BEE83C3F-EAA4-425A-936B-E0E8C3324066}" name="Horas_reales" totalsRowDxfId="14"/>
    <tableColumn id="37" xr3:uid="{B8B8398C-4943-49D1-B956-8F5C1F4FA2D4}" name="Garantia_MT" totalsRowDxfId="13"/>
    <tableColumn id="38" xr3:uid="{CC81E543-50EF-4131-AC94-D4F7BD6AE63A}" name="Garantia_SR" totalsRowDxfId="12"/>
    <tableColumn id="39" xr3:uid="{3385C979-40EF-47B8-A821-87EB51C977A9}" name="Garantia_MN" totalsRowDxfId="11"/>
    <tableColumn id="40" xr3:uid="{EC414A9F-2081-4B88-B4AF-869E0589B68E}" name="Garantia_DS" totalsRowDxfId="10"/>
    <tableColumn id="41" xr3:uid="{606FA9E6-B512-409E-ACC7-405E1D679614}" name="Garantia_OT" totalsRowDxfId="9"/>
    <tableColumn id="42" xr3:uid="{96D2CD26-97A1-4B0F-9121-AF6BF2790401}" name="Garantia" totalsRowDxfId="8"/>
    <tableColumn id="43" xr3:uid="{09327D18-E697-407B-807F-BEEC510226AA}" name="Ingreso_periodo" totalsRowDxfId="7"/>
    <tableColumn id="44" xr3:uid="{320DCCFA-B4D4-48A6-9240-25B33AEF0910}" name="Venta_acumulado" totalsRowDxfId="6"/>
    <tableColumn id="45" xr3:uid="{D3C896CF-1EA5-4425-8D7C-31E402965CA3}" name="Coste_acumulado" totalsRowDxfId="5"/>
    <tableColumn id="46" xr3:uid="{7ECF283E-8C45-4FCA-964B-EF7F6042F9F8}" name="Garantia_acumulado" totalsRowDxfId="4"/>
    <tableColumn id="47" xr3:uid="{C4C298A2-A141-4161-8E14-FF3F7D37303D}" name="Margen_acumulado" totalsRowFunction="sum" totalsRowDxfId="3" totalsRowCellStyle="Moneda"/>
    <tableColumn id="48" xr3:uid="{308E48FD-AF61-4FA9-9AEC-5B57167EDFAE}" name="Margen_acumulado_%_vta" totalsRow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63EC-046D-4718-B856-CA9902EF3DFB}">
  <dimension ref="A1:AV288"/>
  <sheetViews>
    <sheetView tabSelected="1" topLeftCell="G1" workbookViewId="0">
      <pane xSplit="6" ySplit="1" topLeftCell="M2" activePane="bottomRight" state="frozen"/>
      <selection activeCell="G1" sqref="G1"/>
      <selection pane="bottomLeft" activeCell="G2" sqref="G2"/>
      <selection pane="topRight" activeCell="M1" sqref="M1"/>
      <selection pane="bottomRight" activeCell="J291" sqref="J291"/>
    </sheetView>
  </sheetViews>
  <sheetFormatPr defaultColWidth="10.76171875" defaultRowHeight="15" x14ac:dyDescent="0.2"/>
  <cols>
    <col min="1" max="1" width="0" hidden="1" customWidth="1"/>
    <col min="2" max="2" width="12.64453125" hidden="1" customWidth="1"/>
    <col min="3" max="3" width="13.5859375" hidden="1" customWidth="1"/>
    <col min="4" max="4" width="13.71875" hidden="1" customWidth="1"/>
    <col min="5" max="5" width="14.52734375" hidden="1" customWidth="1"/>
    <col min="6" max="6" width="13.31640625" hidden="1" customWidth="1"/>
    <col min="7" max="7" width="32.28515625" customWidth="1"/>
    <col min="8" max="8" width="13.71875" customWidth="1"/>
    <col min="10" max="10" width="20.984375" customWidth="1"/>
    <col min="11" max="11" width="57.7109375" customWidth="1"/>
    <col min="12" max="12" width="23.40625" customWidth="1"/>
    <col min="13" max="14" width="0" hidden="1" customWidth="1"/>
    <col min="15" max="15" width="12.9140625" hidden="1" customWidth="1"/>
    <col min="16" max="16" width="0" hidden="1" customWidth="1"/>
    <col min="17" max="17" width="13.046875" hidden="1" customWidth="1"/>
    <col min="18" max="18" width="12.64453125" hidden="1" customWidth="1"/>
    <col min="19" max="19" width="0" hidden="1" customWidth="1"/>
    <col min="20" max="20" width="17.75390625" hidden="1" customWidth="1"/>
    <col min="21" max="21" width="18.4296875" hidden="1" customWidth="1"/>
    <col min="22" max="22" width="17.62109375" hidden="1" customWidth="1"/>
    <col min="23" max="23" width="13.046875" bestFit="1" customWidth="1"/>
    <col min="24" max="24" width="16.0078125" hidden="1" customWidth="1"/>
    <col min="25" max="25" width="11.8359375" customWidth="1"/>
    <col min="26" max="26" width="0" hidden="1" customWidth="1"/>
    <col min="27" max="27" width="12.23828125" hidden="1" customWidth="1"/>
    <col min="28" max="28" width="0" hidden="1" customWidth="1"/>
    <col min="29" max="29" width="11.56640625" hidden="1" customWidth="1"/>
    <col min="30" max="30" width="13.046875" bestFit="1" customWidth="1"/>
    <col min="31" max="31" width="11.97265625" bestFit="1" customWidth="1"/>
    <col min="32" max="32" width="16.140625" customWidth="1"/>
    <col min="33" max="33" width="11.8359375" customWidth="1"/>
    <col min="34" max="34" width="18.16015625" customWidth="1"/>
    <col min="35" max="35" width="13.1796875" customWidth="1"/>
    <col min="36" max="36" width="14.52734375" customWidth="1"/>
    <col min="37" max="37" width="14.2578125" customWidth="1"/>
    <col min="38" max="38" width="13.71875" customWidth="1"/>
    <col min="39" max="39" width="14.66015625" customWidth="1"/>
    <col min="40" max="40" width="13.85546875" customWidth="1"/>
    <col min="41" max="41" width="13.98828125" customWidth="1"/>
    <col min="43" max="43" width="17.75390625" customWidth="1"/>
    <col min="44" max="44" width="19.1015625" customWidth="1"/>
    <col min="45" max="45" width="18.83203125" customWidth="1"/>
    <col min="46" max="46" width="21.25390625" customWidth="1"/>
    <col min="47" max="47" width="20.58203125" customWidth="1"/>
    <col min="48" max="48" width="26.90234375" customWidth="1"/>
  </cols>
  <sheetData>
    <row r="1" spans="1:4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3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">
      <c r="A2">
        <v>102</v>
      </c>
      <c r="B2" t="s">
        <v>48</v>
      </c>
      <c r="C2" t="s">
        <v>49</v>
      </c>
      <c r="D2" t="s">
        <v>48</v>
      </c>
      <c r="E2" t="s">
        <v>49</v>
      </c>
      <c r="F2">
        <v>1151</v>
      </c>
      <c r="G2" s="3" t="s">
        <v>50</v>
      </c>
      <c r="H2" t="s">
        <v>51</v>
      </c>
      <c r="I2" t="s">
        <v>52</v>
      </c>
      <c r="J2" s="2" t="s">
        <v>53</v>
      </c>
      <c r="K2" t="s">
        <v>54</v>
      </c>
      <c r="L2" s="2" t="s">
        <v>55</v>
      </c>
      <c r="M2" s="1">
        <v>45643</v>
      </c>
      <c r="N2" s="1">
        <v>46022</v>
      </c>
      <c r="O2" s="1">
        <v>46006</v>
      </c>
      <c r="Q2">
        <v>10753.03</v>
      </c>
      <c r="R2">
        <v>7796.95</v>
      </c>
      <c r="S2">
        <v>10753.03</v>
      </c>
      <c r="T2" s="2">
        <v>0</v>
      </c>
      <c r="U2" s="2">
        <v>0</v>
      </c>
      <c r="V2" s="2">
        <v>0</v>
      </c>
      <c r="W2" s="2">
        <v>10753.03</v>
      </c>
      <c r="X2">
        <v>0</v>
      </c>
      <c r="Y2">
        <v>2169.6799999999998</v>
      </c>
      <c r="Z2">
        <v>0</v>
      </c>
      <c r="AA2">
        <v>0</v>
      </c>
      <c r="AB2">
        <v>0</v>
      </c>
      <c r="AC2">
        <v>0</v>
      </c>
      <c r="AD2" s="2">
        <v>2169.6799999999998</v>
      </c>
      <c r="AE2">
        <v>8583.35</v>
      </c>
      <c r="AF2">
        <v>79.819999999999993</v>
      </c>
      <c r="AG2">
        <v>8583.35</v>
      </c>
      <c r="AH2">
        <v>79.819999999999993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7333.46</v>
      </c>
      <c r="AR2">
        <v>10753.03</v>
      </c>
      <c r="AS2">
        <v>2619.63</v>
      </c>
      <c r="AT2">
        <v>0</v>
      </c>
      <c r="AU2">
        <v>8133.4</v>
      </c>
      <c r="AV2">
        <v>75.64</v>
      </c>
    </row>
    <row r="3" spans="1:48" hidden="1" x14ac:dyDescent="0.2">
      <c r="A3">
        <v>102</v>
      </c>
      <c r="B3" t="s">
        <v>56</v>
      </c>
      <c r="C3" t="s">
        <v>57</v>
      </c>
      <c r="D3" t="s">
        <v>56</v>
      </c>
      <c r="E3" t="s">
        <v>57</v>
      </c>
      <c r="F3">
        <v>5004</v>
      </c>
      <c r="G3" t="s">
        <v>58</v>
      </c>
      <c r="H3" t="s">
        <v>59</v>
      </c>
      <c r="I3" t="s">
        <v>60</v>
      </c>
      <c r="J3" s="2" t="s">
        <v>61</v>
      </c>
      <c r="K3" t="s">
        <v>62</v>
      </c>
      <c r="L3" s="2" t="s">
        <v>63</v>
      </c>
      <c r="M3" s="1">
        <v>45689</v>
      </c>
      <c r="N3" t="s">
        <v>64</v>
      </c>
      <c r="O3" s="1">
        <v>46022</v>
      </c>
      <c r="P3" t="s">
        <v>65</v>
      </c>
      <c r="Q3">
        <v>2600</v>
      </c>
      <c r="R3">
        <v>2253.54</v>
      </c>
      <c r="S3">
        <v>0</v>
      </c>
      <c r="T3" s="2">
        <v>0</v>
      </c>
      <c r="U3" s="2">
        <v>0</v>
      </c>
      <c r="V3" s="2">
        <v>0</v>
      </c>
      <c r="W3" s="2">
        <v>216.67</v>
      </c>
      <c r="X3">
        <v>0</v>
      </c>
      <c r="Y3">
        <v>0</v>
      </c>
      <c r="Z3">
        <v>0</v>
      </c>
      <c r="AA3">
        <v>151.97999999999999</v>
      </c>
      <c r="AB3">
        <v>0.78</v>
      </c>
      <c r="AC3">
        <v>10.36</v>
      </c>
      <c r="AD3" s="2">
        <v>163.12</v>
      </c>
      <c r="AE3">
        <v>53.55</v>
      </c>
      <c r="AF3">
        <v>24.72</v>
      </c>
      <c r="AG3">
        <v>53.55</v>
      </c>
      <c r="AH3">
        <v>24.72</v>
      </c>
      <c r="AI3">
        <v>0</v>
      </c>
      <c r="AJ3">
        <v>6.13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216.67</v>
      </c>
      <c r="AR3">
        <v>2383.37</v>
      </c>
      <c r="AS3">
        <v>395.29</v>
      </c>
      <c r="AT3">
        <v>0</v>
      </c>
      <c r="AU3">
        <v>1988.08</v>
      </c>
      <c r="AV3">
        <v>83.41</v>
      </c>
    </row>
    <row r="4" spans="1:48" hidden="1" x14ac:dyDescent="0.2">
      <c r="A4">
        <v>102</v>
      </c>
      <c r="B4" t="s">
        <v>56</v>
      </c>
      <c r="C4" t="s">
        <v>57</v>
      </c>
      <c r="D4" t="s">
        <v>56</v>
      </c>
      <c r="E4" t="s">
        <v>57</v>
      </c>
      <c r="F4">
        <v>5004</v>
      </c>
      <c r="G4" t="s">
        <v>58</v>
      </c>
      <c r="H4" t="s">
        <v>59</v>
      </c>
      <c r="I4" t="s">
        <v>60</v>
      </c>
      <c r="J4" s="2" t="s">
        <v>66</v>
      </c>
      <c r="K4" t="s">
        <v>67</v>
      </c>
      <c r="L4" s="2" t="s">
        <v>63</v>
      </c>
      <c r="M4" s="1">
        <v>45689</v>
      </c>
      <c r="N4" t="s">
        <v>64</v>
      </c>
      <c r="O4" s="1">
        <v>46022</v>
      </c>
      <c r="P4" t="s">
        <v>65</v>
      </c>
      <c r="Q4">
        <v>600</v>
      </c>
      <c r="R4">
        <v>0</v>
      </c>
      <c r="S4">
        <v>0</v>
      </c>
      <c r="T4" s="2">
        <v>0</v>
      </c>
      <c r="U4" s="2">
        <v>0</v>
      </c>
      <c r="V4" s="2">
        <v>0</v>
      </c>
      <c r="W4" s="2">
        <v>50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 s="2">
        <v>0</v>
      </c>
      <c r="AE4">
        <v>50</v>
      </c>
      <c r="AF4">
        <v>100</v>
      </c>
      <c r="AG4">
        <v>50</v>
      </c>
      <c r="AH4">
        <v>100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50</v>
      </c>
      <c r="AR4">
        <v>550</v>
      </c>
      <c r="AS4">
        <v>0</v>
      </c>
      <c r="AT4">
        <v>0</v>
      </c>
      <c r="AU4">
        <v>550</v>
      </c>
      <c r="AV4">
        <v>100</v>
      </c>
    </row>
    <row r="5" spans="1:48" hidden="1" x14ac:dyDescent="0.2">
      <c r="A5">
        <v>102</v>
      </c>
      <c r="B5" t="s">
        <v>56</v>
      </c>
      <c r="C5" t="s">
        <v>57</v>
      </c>
      <c r="D5" t="s">
        <v>56</v>
      </c>
      <c r="E5" t="s">
        <v>57</v>
      </c>
      <c r="F5">
        <v>5004</v>
      </c>
      <c r="G5" t="s">
        <v>58</v>
      </c>
      <c r="H5" t="s">
        <v>68</v>
      </c>
      <c r="I5" t="s">
        <v>69</v>
      </c>
      <c r="J5" s="2" t="s">
        <v>70</v>
      </c>
      <c r="K5" t="s">
        <v>71</v>
      </c>
      <c r="L5" s="2" t="s">
        <v>63</v>
      </c>
      <c r="M5" s="1">
        <v>46003</v>
      </c>
      <c r="N5" t="s">
        <v>64</v>
      </c>
      <c r="O5" t="s">
        <v>64</v>
      </c>
      <c r="Q5">
        <v>0</v>
      </c>
      <c r="R5">
        <v>0</v>
      </c>
      <c r="S5">
        <v>0</v>
      </c>
      <c r="T5" s="2">
        <v>700.95</v>
      </c>
      <c r="U5" s="2">
        <v>0</v>
      </c>
      <c r="V5" s="2">
        <v>0</v>
      </c>
      <c r="W5" s="2">
        <v>0</v>
      </c>
      <c r="X5">
        <v>0</v>
      </c>
      <c r="Y5">
        <v>95.77</v>
      </c>
      <c r="Z5">
        <v>0</v>
      </c>
      <c r="AA5">
        <v>110.68</v>
      </c>
      <c r="AB5">
        <v>3.41</v>
      </c>
      <c r="AC5">
        <v>5.25</v>
      </c>
      <c r="AD5" s="2">
        <v>215.11</v>
      </c>
      <c r="AE5">
        <v>-215.11</v>
      </c>
      <c r="AF5">
        <v>0</v>
      </c>
      <c r="AG5">
        <v>485.84</v>
      </c>
      <c r="AH5">
        <v>69.31</v>
      </c>
      <c r="AI5">
        <v>0</v>
      </c>
      <c r="AJ5">
        <v>4.59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215.11</v>
      </c>
      <c r="AT5">
        <v>0</v>
      </c>
      <c r="AU5">
        <v>-215.11</v>
      </c>
      <c r="AV5">
        <v>0</v>
      </c>
    </row>
    <row r="6" spans="1:48" hidden="1" x14ac:dyDescent="0.2">
      <c r="A6">
        <v>102</v>
      </c>
      <c r="B6" t="s">
        <v>56</v>
      </c>
      <c r="C6" t="s">
        <v>57</v>
      </c>
      <c r="D6" t="s">
        <v>56</v>
      </c>
      <c r="E6" t="s">
        <v>57</v>
      </c>
      <c r="F6">
        <v>5230</v>
      </c>
      <c r="G6" t="s">
        <v>72</v>
      </c>
      <c r="H6" t="s">
        <v>59</v>
      </c>
      <c r="I6" t="s">
        <v>60</v>
      </c>
      <c r="J6" s="2" t="s">
        <v>73</v>
      </c>
      <c r="K6" t="s">
        <v>74</v>
      </c>
      <c r="L6" s="2" t="s">
        <v>63</v>
      </c>
      <c r="M6" s="1">
        <v>45689</v>
      </c>
      <c r="N6" t="s">
        <v>64</v>
      </c>
      <c r="O6" s="1">
        <v>46022</v>
      </c>
      <c r="P6" t="s">
        <v>65</v>
      </c>
      <c r="Q6">
        <v>2975</v>
      </c>
      <c r="R6">
        <v>2527.9499999999998</v>
      </c>
      <c r="S6">
        <v>0</v>
      </c>
      <c r="T6" s="2">
        <v>0</v>
      </c>
      <c r="U6" s="2">
        <v>0</v>
      </c>
      <c r="V6" s="2">
        <v>0</v>
      </c>
      <c r="W6" s="2">
        <v>247.92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 s="2">
        <v>0</v>
      </c>
      <c r="AE6">
        <v>247.92</v>
      </c>
      <c r="AF6">
        <v>100</v>
      </c>
      <c r="AG6">
        <v>247.92</v>
      </c>
      <c r="AH6">
        <v>100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247.92</v>
      </c>
      <c r="AR6">
        <v>2477.12</v>
      </c>
      <c r="AS6">
        <v>857.42</v>
      </c>
      <c r="AT6">
        <v>0</v>
      </c>
      <c r="AU6">
        <v>1619.7</v>
      </c>
      <c r="AV6">
        <v>65.39</v>
      </c>
    </row>
    <row r="7" spans="1:48" hidden="1" x14ac:dyDescent="0.2">
      <c r="A7">
        <v>102</v>
      </c>
      <c r="B7" t="s">
        <v>56</v>
      </c>
      <c r="C7" t="s">
        <v>57</v>
      </c>
      <c r="D7" t="s">
        <v>56</v>
      </c>
      <c r="E7" t="s">
        <v>57</v>
      </c>
      <c r="F7">
        <v>5230</v>
      </c>
      <c r="G7" t="s">
        <v>72</v>
      </c>
      <c r="H7" t="s">
        <v>59</v>
      </c>
      <c r="I7" t="s">
        <v>60</v>
      </c>
      <c r="J7" s="2" t="s">
        <v>75</v>
      </c>
      <c r="K7" t="s">
        <v>76</v>
      </c>
      <c r="L7" s="2" t="s">
        <v>63</v>
      </c>
      <c r="M7" s="1">
        <v>45689</v>
      </c>
      <c r="N7" t="s">
        <v>64</v>
      </c>
      <c r="O7" s="1">
        <v>46022</v>
      </c>
      <c r="P7" t="s">
        <v>65</v>
      </c>
      <c r="Q7">
        <v>600</v>
      </c>
      <c r="R7">
        <v>0</v>
      </c>
      <c r="S7">
        <v>0</v>
      </c>
      <c r="T7" s="2">
        <v>0</v>
      </c>
      <c r="U7" s="2">
        <v>0</v>
      </c>
      <c r="V7" s="2">
        <v>0</v>
      </c>
      <c r="W7" s="2">
        <v>50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 s="2">
        <v>0</v>
      </c>
      <c r="AE7">
        <v>50</v>
      </c>
      <c r="AF7">
        <v>100</v>
      </c>
      <c r="AG7">
        <v>50</v>
      </c>
      <c r="AH7">
        <v>100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50</v>
      </c>
      <c r="AR7">
        <v>550</v>
      </c>
      <c r="AS7">
        <v>0</v>
      </c>
      <c r="AT7">
        <v>0</v>
      </c>
      <c r="AU7">
        <v>550</v>
      </c>
      <c r="AV7">
        <v>100</v>
      </c>
    </row>
    <row r="8" spans="1:48" hidden="1" x14ac:dyDescent="0.2">
      <c r="A8">
        <v>102</v>
      </c>
      <c r="B8" t="s">
        <v>56</v>
      </c>
      <c r="C8" t="s">
        <v>57</v>
      </c>
      <c r="D8" t="s">
        <v>56</v>
      </c>
      <c r="E8" t="s">
        <v>57</v>
      </c>
      <c r="F8">
        <v>5231</v>
      </c>
      <c r="G8" t="s">
        <v>77</v>
      </c>
      <c r="H8" t="s">
        <v>59</v>
      </c>
      <c r="I8" t="s">
        <v>60</v>
      </c>
      <c r="J8" s="2" t="s">
        <v>78</v>
      </c>
      <c r="K8" t="s">
        <v>79</v>
      </c>
      <c r="L8" s="2" t="s">
        <v>63</v>
      </c>
      <c r="M8" s="1">
        <v>45689</v>
      </c>
      <c r="N8" t="s">
        <v>64</v>
      </c>
      <c r="O8" s="1">
        <v>46022</v>
      </c>
      <c r="P8" t="s">
        <v>65</v>
      </c>
      <c r="Q8">
        <v>2975</v>
      </c>
      <c r="R8">
        <v>2527.9499999999998</v>
      </c>
      <c r="S8">
        <v>0</v>
      </c>
      <c r="T8" s="2">
        <v>0</v>
      </c>
      <c r="U8" s="2">
        <v>0</v>
      </c>
      <c r="V8" s="2">
        <v>0</v>
      </c>
      <c r="W8" s="2">
        <v>247.92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 s="2">
        <v>0</v>
      </c>
      <c r="AE8">
        <v>247.92</v>
      </c>
      <c r="AF8">
        <v>100</v>
      </c>
      <c r="AG8">
        <v>247.92</v>
      </c>
      <c r="AH8">
        <v>100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247.92</v>
      </c>
      <c r="AR8">
        <v>2633.37</v>
      </c>
      <c r="AS8">
        <v>455</v>
      </c>
      <c r="AT8">
        <v>0</v>
      </c>
      <c r="AU8">
        <v>2178.37</v>
      </c>
      <c r="AV8">
        <v>82.72</v>
      </c>
    </row>
    <row r="9" spans="1:48" hidden="1" x14ac:dyDescent="0.2">
      <c r="A9">
        <v>102</v>
      </c>
      <c r="B9" t="s">
        <v>56</v>
      </c>
      <c r="C9" t="s">
        <v>57</v>
      </c>
      <c r="D9" t="s">
        <v>56</v>
      </c>
      <c r="E9" t="s">
        <v>57</v>
      </c>
      <c r="F9">
        <v>5231</v>
      </c>
      <c r="G9" t="s">
        <v>77</v>
      </c>
      <c r="H9" t="s">
        <v>59</v>
      </c>
      <c r="I9" t="s">
        <v>60</v>
      </c>
      <c r="J9" s="2" t="s">
        <v>80</v>
      </c>
      <c r="K9" t="s">
        <v>81</v>
      </c>
      <c r="L9" s="2" t="s">
        <v>63</v>
      </c>
      <c r="M9" s="1">
        <v>45689</v>
      </c>
      <c r="N9" t="s">
        <v>64</v>
      </c>
      <c r="O9" s="1">
        <v>46022</v>
      </c>
      <c r="P9" t="s">
        <v>65</v>
      </c>
      <c r="Q9">
        <v>600</v>
      </c>
      <c r="R9">
        <v>0</v>
      </c>
      <c r="S9">
        <v>0</v>
      </c>
      <c r="T9" s="2">
        <v>0</v>
      </c>
      <c r="U9" s="2">
        <v>0</v>
      </c>
      <c r="V9" s="2">
        <v>0</v>
      </c>
      <c r="W9" s="2">
        <v>50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 s="2">
        <v>0</v>
      </c>
      <c r="AE9">
        <v>50</v>
      </c>
      <c r="AF9">
        <v>100</v>
      </c>
      <c r="AG9">
        <v>50</v>
      </c>
      <c r="AH9">
        <v>100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50</v>
      </c>
      <c r="AR9">
        <v>550</v>
      </c>
      <c r="AS9">
        <v>489.14</v>
      </c>
      <c r="AT9">
        <v>0</v>
      </c>
      <c r="AU9">
        <v>60.86</v>
      </c>
      <c r="AV9">
        <v>11.07</v>
      </c>
    </row>
    <row r="10" spans="1:48" hidden="1" x14ac:dyDescent="0.2">
      <c r="A10">
        <v>102</v>
      </c>
      <c r="B10" t="s">
        <v>56</v>
      </c>
      <c r="C10" t="s">
        <v>57</v>
      </c>
      <c r="D10" t="s">
        <v>56</v>
      </c>
      <c r="E10" t="s">
        <v>57</v>
      </c>
      <c r="F10">
        <v>5231</v>
      </c>
      <c r="G10" t="s">
        <v>77</v>
      </c>
      <c r="H10" t="s">
        <v>68</v>
      </c>
      <c r="I10" t="s">
        <v>69</v>
      </c>
      <c r="J10" s="2" t="s">
        <v>82</v>
      </c>
      <c r="K10" t="s">
        <v>83</v>
      </c>
      <c r="L10" s="2" t="s">
        <v>55</v>
      </c>
      <c r="M10" s="1">
        <v>45996</v>
      </c>
      <c r="N10" s="1">
        <v>46038</v>
      </c>
      <c r="O10" t="s">
        <v>64</v>
      </c>
      <c r="Q10">
        <v>0</v>
      </c>
      <c r="R10">
        <v>0</v>
      </c>
      <c r="S10">
        <v>0</v>
      </c>
      <c r="T10" s="2">
        <v>196</v>
      </c>
      <c r="U10" s="2">
        <v>0</v>
      </c>
      <c r="V10" s="2">
        <v>0</v>
      </c>
      <c r="W10" s="2">
        <v>0</v>
      </c>
      <c r="X10">
        <v>0</v>
      </c>
      <c r="Y10">
        <v>0</v>
      </c>
      <c r="Z10">
        <v>0</v>
      </c>
      <c r="AA10">
        <v>55.02</v>
      </c>
      <c r="AB10">
        <v>63.04</v>
      </c>
      <c r="AC10">
        <v>8.33</v>
      </c>
      <c r="AD10" s="2">
        <v>126.39</v>
      </c>
      <c r="AE10">
        <v>-126.39</v>
      </c>
      <c r="AF10">
        <v>0</v>
      </c>
      <c r="AG10">
        <v>69.61</v>
      </c>
      <c r="AH10">
        <v>35.520000000000003</v>
      </c>
      <c r="AI10">
        <v>0</v>
      </c>
      <c r="AJ10">
        <v>3.74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126.39</v>
      </c>
      <c r="AT10">
        <v>0</v>
      </c>
      <c r="AU10">
        <v>-126.39</v>
      </c>
      <c r="AV10">
        <v>0</v>
      </c>
    </row>
    <row r="11" spans="1:48" hidden="1" x14ac:dyDescent="0.2">
      <c r="A11">
        <v>102</v>
      </c>
      <c r="B11" t="s">
        <v>56</v>
      </c>
      <c r="C11" t="s">
        <v>57</v>
      </c>
      <c r="D11" t="s">
        <v>56</v>
      </c>
      <c r="E11" t="s">
        <v>57</v>
      </c>
      <c r="F11">
        <v>5231</v>
      </c>
      <c r="G11" t="s">
        <v>77</v>
      </c>
      <c r="H11" t="s">
        <v>68</v>
      </c>
      <c r="I11" t="s">
        <v>69</v>
      </c>
      <c r="J11" s="2" t="s">
        <v>84</v>
      </c>
      <c r="K11" t="s">
        <v>85</v>
      </c>
      <c r="L11" s="2" t="s">
        <v>86</v>
      </c>
      <c r="M11" s="1">
        <v>46001</v>
      </c>
      <c r="N11" s="1">
        <v>46029</v>
      </c>
      <c r="O11" s="1">
        <v>46022</v>
      </c>
      <c r="Q11">
        <v>0</v>
      </c>
      <c r="R11">
        <v>0</v>
      </c>
      <c r="S11">
        <v>0</v>
      </c>
      <c r="T11" s="2">
        <v>0</v>
      </c>
      <c r="U11" s="2">
        <v>0</v>
      </c>
      <c r="V11" s="2">
        <v>0</v>
      </c>
      <c r="W11" s="2">
        <v>150</v>
      </c>
      <c r="X11">
        <v>0</v>
      </c>
      <c r="Y11">
        <v>0</v>
      </c>
      <c r="Z11">
        <v>0</v>
      </c>
      <c r="AA11">
        <v>30.74</v>
      </c>
      <c r="AB11">
        <v>80.05</v>
      </c>
      <c r="AC11">
        <v>2.19</v>
      </c>
      <c r="AD11" s="2">
        <v>112.98</v>
      </c>
      <c r="AE11">
        <v>37.020000000000003</v>
      </c>
      <c r="AF11">
        <v>24.68</v>
      </c>
      <c r="AG11">
        <v>37.020000000000003</v>
      </c>
      <c r="AH11">
        <v>24.68</v>
      </c>
      <c r="AI11">
        <v>0</v>
      </c>
      <c r="AJ11">
        <v>3.4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150</v>
      </c>
      <c r="AR11">
        <v>150</v>
      </c>
      <c r="AS11">
        <v>112.98</v>
      </c>
      <c r="AT11">
        <v>0</v>
      </c>
      <c r="AU11">
        <v>37.020000000000003</v>
      </c>
      <c r="AV11">
        <v>24.68</v>
      </c>
    </row>
    <row r="12" spans="1:48" hidden="1" x14ac:dyDescent="0.2">
      <c r="A12">
        <v>102</v>
      </c>
      <c r="B12" t="s">
        <v>56</v>
      </c>
      <c r="C12" t="s">
        <v>57</v>
      </c>
      <c r="D12" t="s">
        <v>56</v>
      </c>
      <c r="E12" t="s">
        <v>57</v>
      </c>
      <c r="F12">
        <v>5246</v>
      </c>
      <c r="G12" t="s">
        <v>87</v>
      </c>
      <c r="H12" t="s">
        <v>59</v>
      </c>
      <c r="I12" t="s">
        <v>60</v>
      </c>
      <c r="J12" s="2" t="s">
        <v>88</v>
      </c>
      <c r="K12" t="s">
        <v>89</v>
      </c>
      <c r="L12" s="2" t="s">
        <v>63</v>
      </c>
      <c r="M12" s="1">
        <v>45689</v>
      </c>
      <c r="N12" t="s">
        <v>64</v>
      </c>
      <c r="O12" s="1">
        <v>46022</v>
      </c>
      <c r="P12" t="s">
        <v>65</v>
      </c>
      <c r="Q12">
        <v>2975</v>
      </c>
      <c r="R12">
        <v>2253.54</v>
      </c>
      <c r="S12">
        <v>0</v>
      </c>
      <c r="T12" s="2">
        <v>0</v>
      </c>
      <c r="U12" s="2">
        <v>0</v>
      </c>
      <c r="V12" s="2">
        <v>0</v>
      </c>
      <c r="W12" s="2">
        <v>247.92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 s="2">
        <v>0</v>
      </c>
      <c r="AE12">
        <v>247.92</v>
      </c>
      <c r="AF12">
        <v>100</v>
      </c>
      <c r="AG12">
        <v>247.92</v>
      </c>
      <c r="AH12">
        <v>100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247.92</v>
      </c>
      <c r="AR12">
        <v>2678.22</v>
      </c>
      <c r="AS12">
        <v>289</v>
      </c>
      <c r="AT12">
        <v>0</v>
      </c>
      <c r="AU12">
        <v>2389.2199999999998</v>
      </c>
      <c r="AV12">
        <v>89.21</v>
      </c>
    </row>
    <row r="13" spans="1:48" hidden="1" x14ac:dyDescent="0.2">
      <c r="A13">
        <v>102</v>
      </c>
      <c r="B13" t="s">
        <v>56</v>
      </c>
      <c r="C13" t="s">
        <v>57</v>
      </c>
      <c r="D13" t="s">
        <v>56</v>
      </c>
      <c r="E13" t="s">
        <v>57</v>
      </c>
      <c r="F13">
        <v>5246</v>
      </c>
      <c r="G13" t="s">
        <v>87</v>
      </c>
      <c r="H13" t="s">
        <v>59</v>
      </c>
      <c r="I13" t="s">
        <v>60</v>
      </c>
      <c r="J13" s="2" t="s">
        <v>90</v>
      </c>
      <c r="K13" t="s">
        <v>91</v>
      </c>
      <c r="L13" s="2" t="s">
        <v>63</v>
      </c>
      <c r="M13" s="1">
        <v>45689</v>
      </c>
      <c r="N13" t="s">
        <v>64</v>
      </c>
      <c r="O13" s="1">
        <v>46022</v>
      </c>
      <c r="P13" t="s">
        <v>65</v>
      </c>
      <c r="Q13">
        <v>600</v>
      </c>
      <c r="R13">
        <v>0</v>
      </c>
      <c r="S13">
        <v>0</v>
      </c>
      <c r="T13" s="2">
        <v>0</v>
      </c>
      <c r="U13" s="2">
        <v>0</v>
      </c>
      <c r="V13" s="2">
        <v>0</v>
      </c>
      <c r="W13" s="2">
        <v>50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 s="2">
        <v>0</v>
      </c>
      <c r="AE13">
        <v>50</v>
      </c>
      <c r="AF13">
        <v>100</v>
      </c>
      <c r="AG13">
        <v>50</v>
      </c>
      <c r="AH13">
        <v>100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50</v>
      </c>
      <c r="AR13">
        <v>550</v>
      </c>
      <c r="AS13">
        <v>0</v>
      </c>
      <c r="AT13">
        <v>0</v>
      </c>
      <c r="AU13">
        <v>550</v>
      </c>
      <c r="AV13">
        <v>100</v>
      </c>
    </row>
    <row r="14" spans="1:48" hidden="1" x14ac:dyDescent="0.2">
      <c r="A14">
        <v>102</v>
      </c>
      <c r="B14" t="s">
        <v>56</v>
      </c>
      <c r="C14" t="s">
        <v>57</v>
      </c>
      <c r="D14" t="s">
        <v>56</v>
      </c>
      <c r="E14" t="s">
        <v>57</v>
      </c>
      <c r="F14">
        <v>5246</v>
      </c>
      <c r="G14" t="s">
        <v>87</v>
      </c>
      <c r="H14" t="s">
        <v>68</v>
      </c>
      <c r="I14" t="s">
        <v>69</v>
      </c>
      <c r="J14" s="2" t="s">
        <v>92</v>
      </c>
      <c r="K14" t="s">
        <v>93</v>
      </c>
      <c r="L14" s="2" t="s">
        <v>55</v>
      </c>
      <c r="M14" s="1">
        <v>45995</v>
      </c>
      <c r="N14" s="1">
        <v>46030</v>
      </c>
      <c r="O14" t="s">
        <v>64</v>
      </c>
      <c r="Q14">
        <v>0</v>
      </c>
      <c r="R14">
        <v>0</v>
      </c>
      <c r="S14">
        <v>0</v>
      </c>
      <c r="T14" s="2">
        <v>173</v>
      </c>
      <c r="U14" s="2">
        <v>0</v>
      </c>
      <c r="V14" s="2">
        <v>0</v>
      </c>
      <c r="W14" s="2">
        <v>0</v>
      </c>
      <c r="X14">
        <v>0</v>
      </c>
      <c r="Y14">
        <v>0</v>
      </c>
      <c r="Z14">
        <v>0</v>
      </c>
      <c r="AA14">
        <v>38.82</v>
      </c>
      <c r="AB14">
        <v>16.27</v>
      </c>
      <c r="AC14">
        <v>3.36</v>
      </c>
      <c r="AD14" s="2">
        <v>58.45</v>
      </c>
      <c r="AE14">
        <v>-58.45</v>
      </c>
      <c r="AF14">
        <v>0</v>
      </c>
      <c r="AG14">
        <v>114.55</v>
      </c>
      <c r="AH14">
        <v>66.209999999999994</v>
      </c>
      <c r="AI14">
        <v>0</v>
      </c>
      <c r="AJ14">
        <v>2.15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58.45</v>
      </c>
      <c r="AT14">
        <v>0</v>
      </c>
      <c r="AU14">
        <v>-58.45</v>
      </c>
      <c r="AV14">
        <v>0</v>
      </c>
    </row>
    <row r="15" spans="1:48" hidden="1" x14ac:dyDescent="0.2">
      <c r="A15">
        <v>102</v>
      </c>
      <c r="B15" t="s">
        <v>56</v>
      </c>
      <c r="C15" t="s">
        <v>57</v>
      </c>
      <c r="D15" t="s">
        <v>56</v>
      </c>
      <c r="E15" t="s">
        <v>57</v>
      </c>
      <c r="F15">
        <v>5247</v>
      </c>
      <c r="G15" t="s">
        <v>94</v>
      </c>
      <c r="H15" t="s">
        <v>59</v>
      </c>
      <c r="I15" t="s">
        <v>60</v>
      </c>
      <c r="J15" s="2" t="s">
        <v>95</v>
      </c>
      <c r="K15" t="s">
        <v>96</v>
      </c>
      <c r="L15" s="2" t="s">
        <v>63</v>
      </c>
      <c r="M15" s="1">
        <v>45689</v>
      </c>
      <c r="N15" t="s">
        <v>64</v>
      </c>
      <c r="O15" s="1">
        <v>46022</v>
      </c>
      <c r="P15" t="s">
        <v>65</v>
      </c>
      <c r="Q15">
        <v>2975</v>
      </c>
      <c r="R15">
        <v>2227.44</v>
      </c>
      <c r="S15">
        <v>0</v>
      </c>
      <c r="T15" s="2">
        <v>0</v>
      </c>
      <c r="U15" s="2">
        <v>0</v>
      </c>
      <c r="V15" s="2">
        <v>0</v>
      </c>
      <c r="W15" s="2">
        <v>247.92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 s="2">
        <v>0</v>
      </c>
      <c r="AE15">
        <v>247.92</v>
      </c>
      <c r="AF15">
        <v>100</v>
      </c>
      <c r="AG15">
        <v>247.92</v>
      </c>
      <c r="AH15">
        <v>100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247.92</v>
      </c>
      <c r="AR15">
        <v>2664.62</v>
      </c>
      <c r="AS15">
        <v>268.70999999999998</v>
      </c>
      <c r="AT15">
        <v>0</v>
      </c>
      <c r="AU15">
        <v>2395.91</v>
      </c>
      <c r="AV15">
        <v>89.92</v>
      </c>
    </row>
    <row r="16" spans="1:48" hidden="1" x14ac:dyDescent="0.2">
      <c r="A16">
        <v>102</v>
      </c>
      <c r="B16" t="s">
        <v>56</v>
      </c>
      <c r="C16" t="s">
        <v>57</v>
      </c>
      <c r="D16" t="s">
        <v>56</v>
      </c>
      <c r="E16" t="s">
        <v>57</v>
      </c>
      <c r="F16">
        <v>5247</v>
      </c>
      <c r="G16" t="s">
        <v>94</v>
      </c>
      <c r="H16" t="s">
        <v>59</v>
      </c>
      <c r="I16" t="s">
        <v>60</v>
      </c>
      <c r="J16" s="2" t="s">
        <v>97</v>
      </c>
      <c r="K16" t="s">
        <v>98</v>
      </c>
      <c r="L16" s="2" t="s">
        <v>63</v>
      </c>
      <c r="M16" s="1">
        <v>45689</v>
      </c>
      <c r="N16" t="s">
        <v>64</v>
      </c>
      <c r="O16" s="1">
        <v>46022</v>
      </c>
      <c r="P16" t="s">
        <v>65</v>
      </c>
      <c r="Q16">
        <v>600</v>
      </c>
      <c r="R16">
        <v>0</v>
      </c>
      <c r="S16">
        <v>0</v>
      </c>
      <c r="T16" s="2">
        <v>0</v>
      </c>
      <c r="U16" s="2">
        <v>0</v>
      </c>
      <c r="V16" s="2">
        <v>0</v>
      </c>
      <c r="W16" s="2">
        <v>50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 s="2">
        <v>0</v>
      </c>
      <c r="AE16">
        <v>50</v>
      </c>
      <c r="AF16">
        <v>100</v>
      </c>
      <c r="AG16">
        <v>50</v>
      </c>
      <c r="AH16">
        <v>100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50</v>
      </c>
      <c r="AR16">
        <v>550</v>
      </c>
      <c r="AS16">
        <v>0</v>
      </c>
      <c r="AT16">
        <v>0</v>
      </c>
      <c r="AU16">
        <v>550</v>
      </c>
      <c r="AV16">
        <v>100</v>
      </c>
    </row>
    <row r="17" spans="1:48" hidden="1" x14ac:dyDescent="0.2">
      <c r="A17">
        <v>102</v>
      </c>
      <c r="B17" t="s">
        <v>56</v>
      </c>
      <c r="C17" t="s">
        <v>57</v>
      </c>
      <c r="D17" t="s">
        <v>56</v>
      </c>
      <c r="E17" t="s">
        <v>57</v>
      </c>
      <c r="F17">
        <v>5249</v>
      </c>
      <c r="G17" t="s">
        <v>99</v>
      </c>
      <c r="H17" t="s">
        <v>59</v>
      </c>
      <c r="I17" t="s">
        <v>60</v>
      </c>
      <c r="J17" s="2" t="s">
        <v>100</v>
      </c>
      <c r="K17" t="s">
        <v>101</v>
      </c>
      <c r="L17" s="2" t="s">
        <v>63</v>
      </c>
      <c r="M17" s="1">
        <v>45689</v>
      </c>
      <c r="N17" t="s">
        <v>64</v>
      </c>
      <c r="O17" s="1">
        <v>46022</v>
      </c>
      <c r="P17" t="s">
        <v>65</v>
      </c>
      <c r="Q17">
        <v>2975</v>
      </c>
      <c r="R17">
        <v>2253.54</v>
      </c>
      <c r="S17">
        <v>0</v>
      </c>
      <c r="T17" s="2">
        <v>0</v>
      </c>
      <c r="U17" s="2">
        <v>0</v>
      </c>
      <c r="V17" s="2">
        <v>0</v>
      </c>
      <c r="W17" s="2">
        <v>247.92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 s="2">
        <v>0</v>
      </c>
      <c r="AE17">
        <v>247.92</v>
      </c>
      <c r="AF17">
        <v>100</v>
      </c>
      <c r="AG17">
        <v>247.92</v>
      </c>
      <c r="AH17">
        <v>100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247.92</v>
      </c>
      <c r="AR17">
        <v>2477.12</v>
      </c>
      <c r="AS17">
        <v>371.67</v>
      </c>
      <c r="AT17">
        <v>0</v>
      </c>
      <c r="AU17">
        <v>2105.4499999999998</v>
      </c>
      <c r="AV17">
        <v>85</v>
      </c>
    </row>
    <row r="18" spans="1:48" hidden="1" x14ac:dyDescent="0.2">
      <c r="A18">
        <v>102</v>
      </c>
      <c r="B18" t="s">
        <v>56</v>
      </c>
      <c r="C18" t="s">
        <v>57</v>
      </c>
      <c r="D18" t="s">
        <v>56</v>
      </c>
      <c r="E18" t="s">
        <v>57</v>
      </c>
      <c r="F18">
        <v>5249</v>
      </c>
      <c r="G18" t="s">
        <v>99</v>
      </c>
      <c r="H18" t="s">
        <v>59</v>
      </c>
      <c r="I18" t="s">
        <v>60</v>
      </c>
      <c r="J18" s="2" t="s">
        <v>102</v>
      </c>
      <c r="K18" t="s">
        <v>103</v>
      </c>
      <c r="L18" s="2" t="s">
        <v>63</v>
      </c>
      <c r="M18" s="1">
        <v>45689</v>
      </c>
      <c r="N18" t="s">
        <v>64</v>
      </c>
      <c r="O18" s="1">
        <v>46022</v>
      </c>
      <c r="P18" t="s">
        <v>65</v>
      </c>
      <c r="Q18">
        <v>600</v>
      </c>
      <c r="R18">
        <v>0</v>
      </c>
      <c r="S18">
        <v>0</v>
      </c>
      <c r="T18" s="2">
        <v>0</v>
      </c>
      <c r="U18" s="2">
        <v>0</v>
      </c>
      <c r="V18" s="2">
        <v>0</v>
      </c>
      <c r="W18" s="2">
        <v>50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 s="2">
        <v>0</v>
      </c>
      <c r="AE18">
        <v>50</v>
      </c>
      <c r="AF18">
        <v>100</v>
      </c>
      <c r="AG18">
        <v>50</v>
      </c>
      <c r="AH18">
        <v>100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50</v>
      </c>
      <c r="AR18">
        <v>550</v>
      </c>
      <c r="AS18">
        <v>0</v>
      </c>
      <c r="AT18">
        <v>0</v>
      </c>
      <c r="AU18">
        <v>550</v>
      </c>
      <c r="AV18">
        <v>100</v>
      </c>
    </row>
    <row r="19" spans="1:48" hidden="1" x14ac:dyDescent="0.2">
      <c r="A19">
        <v>102</v>
      </c>
      <c r="B19" t="s">
        <v>56</v>
      </c>
      <c r="C19" t="s">
        <v>57</v>
      </c>
      <c r="D19" t="s">
        <v>56</v>
      </c>
      <c r="E19" t="s">
        <v>57</v>
      </c>
      <c r="F19">
        <v>5249</v>
      </c>
      <c r="G19" t="s">
        <v>99</v>
      </c>
      <c r="H19" t="s">
        <v>104</v>
      </c>
      <c r="I19" t="s">
        <v>69</v>
      </c>
      <c r="J19" s="2" t="s">
        <v>105</v>
      </c>
      <c r="K19" t="s">
        <v>106</v>
      </c>
      <c r="L19" s="2" t="s">
        <v>86</v>
      </c>
      <c r="M19" s="1">
        <v>45999</v>
      </c>
      <c r="N19" s="1">
        <v>46030</v>
      </c>
      <c r="O19" s="1">
        <v>46022</v>
      </c>
      <c r="Q19">
        <v>0</v>
      </c>
      <c r="R19">
        <v>0</v>
      </c>
      <c r="S19">
        <v>0</v>
      </c>
      <c r="T19" s="2">
        <v>0</v>
      </c>
      <c r="U19" s="2">
        <v>0</v>
      </c>
      <c r="V19" s="2">
        <v>0</v>
      </c>
      <c r="W19" s="2">
        <v>104</v>
      </c>
      <c r="X19">
        <v>0</v>
      </c>
      <c r="Y19">
        <v>0</v>
      </c>
      <c r="Z19">
        <v>0</v>
      </c>
      <c r="AA19">
        <v>4.13</v>
      </c>
      <c r="AB19">
        <v>3.98</v>
      </c>
      <c r="AC19">
        <v>0.56000000000000005</v>
      </c>
      <c r="AD19" s="2">
        <v>8.67</v>
      </c>
      <c r="AE19">
        <v>95.33</v>
      </c>
      <c r="AF19">
        <v>91.66</v>
      </c>
      <c r="AG19">
        <v>95.33</v>
      </c>
      <c r="AH19">
        <v>91.66</v>
      </c>
      <c r="AI19">
        <v>0</v>
      </c>
      <c r="AJ19">
        <v>0.32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104</v>
      </c>
      <c r="AR19">
        <v>104</v>
      </c>
      <c r="AS19">
        <v>8.67</v>
      </c>
      <c r="AT19">
        <v>0</v>
      </c>
      <c r="AU19">
        <v>95.33</v>
      </c>
      <c r="AV19">
        <v>91.66</v>
      </c>
    </row>
    <row r="20" spans="1:48" hidden="1" x14ac:dyDescent="0.2">
      <c r="A20">
        <v>102</v>
      </c>
      <c r="B20" t="s">
        <v>56</v>
      </c>
      <c r="C20" t="s">
        <v>57</v>
      </c>
      <c r="D20" t="s">
        <v>56</v>
      </c>
      <c r="E20" t="s">
        <v>57</v>
      </c>
      <c r="F20">
        <v>5394</v>
      </c>
      <c r="G20" t="s">
        <v>107</v>
      </c>
      <c r="H20" t="s">
        <v>59</v>
      </c>
      <c r="I20" t="s">
        <v>60</v>
      </c>
      <c r="J20" s="2" t="s">
        <v>108</v>
      </c>
      <c r="K20" t="s">
        <v>109</v>
      </c>
      <c r="L20" s="2" t="s">
        <v>63</v>
      </c>
      <c r="M20" s="1">
        <v>45789</v>
      </c>
      <c r="N20" t="s">
        <v>64</v>
      </c>
      <c r="O20" s="1">
        <v>46022</v>
      </c>
      <c r="P20" t="s">
        <v>65</v>
      </c>
      <c r="Q20">
        <v>4875</v>
      </c>
      <c r="R20">
        <v>3878.4</v>
      </c>
      <c r="S20">
        <v>0</v>
      </c>
      <c r="T20" s="2">
        <v>0</v>
      </c>
      <c r="U20" s="2">
        <v>0</v>
      </c>
      <c r="V20" s="2">
        <v>0</v>
      </c>
      <c r="W20" s="2">
        <v>406.25</v>
      </c>
      <c r="X20">
        <v>0</v>
      </c>
      <c r="Y20">
        <v>0</v>
      </c>
      <c r="Z20">
        <v>0</v>
      </c>
      <c r="AA20">
        <v>56.58</v>
      </c>
      <c r="AB20">
        <v>17.510000000000002</v>
      </c>
      <c r="AC20">
        <v>4.74</v>
      </c>
      <c r="AD20" s="2">
        <v>78.83</v>
      </c>
      <c r="AE20">
        <v>327.42</v>
      </c>
      <c r="AF20">
        <v>80.599999999999994</v>
      </c>
      <c r="AG20">
        <v>327.42</v>
      </c>
      <c r="AH20">
        <v>80.599999999999994</v>
      </c>
      <c r="AI20">
        <v>0</v>
      </c>
      <c r="AJ20">
        <v>2.64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406.25</v>
      </c>
      <c r="AR20">
        <v>3250</v>
      </c>
      <c r="AS20">
        <v>767.21</v>
      </c>
      <c r="AT20">
        <v>0</v>
      </c>
      <c r="AU20">
        <v>2482.79</v>
      </c>
      <c r="AV20">
        <v>76.39</v>
      </c>
    </row>
    <row r="21" spans="1:48" hidden="1" x14ac:dyDescent="0.2">
      <c r="A21">
        <v>102</v>
      </c>
      <c r="B21" t="s">
        <v>56</v>
      </c>
      <c r="C21" t="s">
        <v>57</v>
      </c>
      <c r="D21" t="s">
        <v>56</v>
      </c>
      <c r="E21" t="s">
        <v>57</v>
      </c>
      <c r="F21">
        <v>5394</v>
      </c>
      <c r="G21" t="s">
        <v>107</v>
      </c>
      <c r="H21" t="s">
        <v>59</v>
      </c>
      <c r="I21" t="s">
        <v>60</v>
      </c>
      <c r="J21" s="2" t="s">
        <v>110</v>
      </c>
      <c r="K21" t="s">
        <v>111</v>
      </c>
      <c r="L21" s="2" t="s">
        <v>63</v>
      </c>
      <c r="M21" s="1">
        <v>45789</v>
      </c>
      <c r="N21" t="s">
        <v>64</v>
      </c>
      <c r="O21" s="1">
        <v>46022</v>
      </c>
      <c r="P21" t="s">
        <v>65</v>
      </c>
      <c r="Q21">
        <v>600</v>
      </c>
      <c r="R21">
        <v>0</v>
      </c>
      <c r="S21">
        <v>0</v>
      </c>
      <c r="T21" s="2">
        <v>0</v>
      </c>
      <c r="U21" s="2">
        <v>0</v>
      </c>
      <c r="V21" s="2">
        <v>0</v>
      </c>
      <c r="W21" s="2">
        <v>50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 s="2">
        <v>0</v>
      </c>
      <c r="AE21">
        <v>50</v>
      </c>
      <c r="AF21">
        <v>100</v>
      </c>
      <c r="AG21">
        <v>50</v>
      </c>
      <c r="AH21">
        <v>100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50</v>
      </c>
      <c r="AR21">
        <v>400</v>
      </c>
      <c r="AS21">
        <v>0</v>
      </c>
      <c r="AT21">
        <v>0</v>
      </c>
      <c r="AU21">
        <v>400</v>
      </c>
      <c r="AV21">
        <v>100</v>
      </c>
    </row>
    <row r="22" spans="1:48" hidden="1" x14ac:dyDescent="0.2">
      <c r="A22">
        <v>102</v>
      </c>
      <c r="B22" t="s">
        <v>56</v>
      </c>
      <c r="C22" t="s">
        <v>57</v>
      </c>
      <c r="D22" t="s">
        <v>56</v>
      </c>
      <c r="E22" t="s">
        <v>57</v>
      </c>
      <c r="F22">
        <v>5397</v>
      </c>
      <c r="G22" t="s">
        <v>112</v>
      </c>
      <c r="H22" t="s">
        <v>59</v>
      </c>
      <c r="I22" t="s">
        <v>60</v>
      </c>
      <c r="J22" s="2" t="s">
        <v>113</v>
      </c>
      <c r="K22" t="s">
        <v>114</v>
      </c>
      <c r="L22" s="2" t="s">
        <v>63</v>
      </c>
      <c r="M22" s="1">
        <v>45901</v>
      </c>
      <c r="N22" t="s">
        <v>64</v>
      </c>
      <c r="O22" s="1">
        <v>46022</v>
      </c>
      <c r="P22" t="s">
        <v>65</v>
      </c>
      <c r="Q22">
        <v>4875</v>
      </c>
      <c r="R22">
        <v>5975.93</v>
      </c>
      <c r="S22">
        <v>0</v>
      </c>
      <c r="T22" s="2">
        <v>0</v>
      </c>
      <c r="U22" s="2">
        <v>0</v>
      </c>
      <c r="V22" s="2">
        <v>0</v>
      </c>
      <c r="W22" s="2">
        <v>406.25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 s="2">
        <v>0</v>
      </c>
      <c r="AE22">
        <v>406.25</v>
      </c>
      <c r="AF22">
        <v>100</v>
      </c>
      <c r="AG22">
        <v>406.25</v>
      </c>
      <c r="AH22">
        <v>100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406.25</v>
      </c>
      <c r="AR22">
        <v>1625</v>
      </c>
      <c r="AS22">
        <v>0</v>
      </c>
      <c r="AT22">
        <v>0</v>
      </c>
      <c r="AU22">
        <v>1625</v>
      </c>
      <c r="AV22">
        <v>100</v>
      </c>
    </row>
    <row r="23" spans="1:48" hidden="1" x14ac:dyDescent="0.2">
      <c r="A23">
        <v>102</v>
      </c>
      <c r="B23" t="s">
        <v>56</v>
      </c>
      <c r="C23" t="s">
        <v>57</v>
      </c>
      <c r="D23" t="s">
        <v>56</v>
      </c>
      <c r="E23" t="s">
        <v>57</v>
      </c>
      <c r="F23">
        <v>5397</v>
      </c>
      <c r="G23" t="s">
        <v>112</v>
      </c>
      <c r="H23" t="s">
        <v>59</v>
      </c>
      <c r="I23" t="s">
        <v>60</v>
      </c>
      <c r="J23" s="2" t="s">
        <v>115</v>
      </c>
      <c r="K23" t="s">
        <v>116</v>
      </c>
      <c r="L23" s="2" t="s">
        <v>63</v>
      </c>
      <c r="M23" s="1">
        <v>45901</v>
      </c>
      <c r="N23" t="s">
        <v>64</v>
      </c>
      <c r="O23" s="1">
        <v>46022</v>
      </c>
      <c r="P23" t="s">
        <v>65</v>
      </c>
      <c r="Q23">
        <v>600</v>
      </c>
      <c r="R23">
        <v>0</v>
      </c>
      <c r="S23">
        <v>0</v>
      </c>
      <c r="T23" s="2">
        <v>0</v>
      </c>
      <c r="U23" s="2">
        <v>0</v>
      </c>
      <c r="V23" s="2">
        <v>0</v>
      </c>
      <c r="W23" s="2">
        <v>50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 s="2">
        <v>0</v>
      </c>
      <c r="AE23">
        <v>50</v>
      </c>
      <c r="AF23">
        <v>100</v>
      </c>
      <c r="AG23">
        <v>50</v>
      </c>
      <c r="AH23">
        <v>100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50</v>
      </c>
      <c r="AR23">
        <v>200</v>
      </c>
      <c r="AS23">
        <v>0</v>
      </c>
      <c r="AT23">
        <v>0</v>
      </c>
      <c r="AU23">
        <v>200</v>
      </c>
      <c r="AV23">
        <v>100</v>
      </c>
    </row>
    <row r="24" spans="1:48" hidden="1" x14ac:dyDescent="0.2">
      <c r="A24">
        <v>102</v>
      </c>
      <c r="B24" t="s">
        <v>56</v>
      </c>
      <c r="C24" t="s">
        <v>57</v>
      </c>
      <c r="D24" t="s">
        <v>56</v>
      </c>
      <c r="E24" t="s">
        <v>57</v>
      </c>
      <c r="F24">
        <v>5530</v>
      </c>
      <c r="G24" t="s">
        <v>117</v>
      </c>
      <c r="H24" t="s">
        <v>59</v>
      </c>
      <c r="I24" t="s">
        <v>60</v>
      </c>
      <c r="J24" s="2" t="s">
        <v>118</v>
      </c>
      <c r="K24" t="s">
        <v>119</v>
      </c>
      <c r="L24" s="2" t="s">
        <v>63</v>
      </c>
      <c r="M24" s="1">
        <v>45689</v>
      </c>
      <c r="N24" t="s">
        <v>64</v>
      </c>
      <c r="O24" s="1">
        <v>46022</v>
      </c>
      <c r="P24" t="s">
        <v>65</v>
      </c>
      <c r="Q24">
        <v>4875</v>
      </c>
      <c r="R24">
        <v>4131.4799999999996</v>
      </c>
      <c r="S24">
        <v>0</v>
      </c>
      <c r="T24" s="2">
        <v>0</v>
      </c>
      <c r="U24" s="2">
        <v>0</v>
      </c>
      <c r="V24" s="2">
        <v>0</v>
      </c>
      <c r="W24" s="2">
        <v>406.25</v>
      </c>
      <c r="X24">
        <v>0</v>
      </c>
      <c r="Y24">
        <v>0</v>
      </c>
      <c r="Z24">
        <v>0</v>
      </c>
      <c r="AA24">
        <v>239.12</v>
      </c>
      <c r="AB24">
        <v>34.75</v>
      </c>
      <c r="AC24">
        <v>15.76</v>
      </c>
      <c r="AD24" s="2">
        <v>289.63</v>
      </c>
      <c r="AE24">
        <v>116.62</v>
      </c>
      <c r="AF24">
        <v>28.71</v>
      </c>
      <c r="AG24">
        <v>116.62</v>
      </c>
      <c r="AH24">
        <v>28.71</v>
      </c>
      <c r="AI24">
        <v>0</v>
      </c>
      <c r="AJ24">
        <v>10.73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406.25</v>
      </c>
      <c r="AR24">
        <v>4437.5</v>
      </c>
      <c r="AS24">
        <v>1409.39</v>
      </c>
      <c r="AT24">
        <v>0</v>
      </c>
      <c r="AU24">
        <v>3028.11</v>
      </c>
      <c r="AV24">
        <v>68.239999999999995</v>
      </c>
    </row>
    <row r="25" spans="1:48" hidden="1" x14ac:dyDescent="0.2">
      <c r="A25">
        <v>102</v>
      </c>
      <c r="B25" t="s">
        <v>56</v>
      </c>
      <c r="C25" t="s">
        <v>57</v>
      </c>
      <c r="D25" t="s">
        <v>56</v>
      </c>
      <c r="E25" t="s">
        <v>57</v>
      </c>
      <c r="F25">
        <v>5530</v>
      </c>
      <c r="G25" t="s">
        <v>117</v>
      </c>
      <c r="H25" t="s">
        <v>59</v>
      </c>
      <c r="I25" t="s">
        <v>60</v>
      </c>
      <c r="J25" s="2" t="s">
        <v>120</v>
      </c>
      <c r="K25" t="s">
        <v>121</v>
      </c>
      <c r="L25" s="2" t="s">
        <v>63</v>
      </c>
      <c r="M25" s="1">
        <v>45689</v>
      </c>
      <c r="N25" t="s">
        <v>64</v>
      </c>
      <c r="O25" s="1">
        <v>46022</v>
      </c>
      <c r="P25" t="s">
        <v>65</v>
      </c>
      <c r="Q25">
        <v>600</v>
      </c>
      <c r="R25">
        <v>0</v>
      </c>
      <c r="S25">
        <v>0</v>
      </c>
      <c r="T25" s="2">
        <v>0</v>
      </c>
      <c r="U25" s="2">
        <v>0</v>
      </c>
      <c r="V25" s="2">
        <v>0</v>
      </c>
      <c r="W25" s="2">
        <v>50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 s="2">
        <v>0</v>
      </c>
      <c r="AE25">
        <v>50</v>
      </c>
      <c r="AF25">
        <v>100</v>
      </c>
      <c r="AG25">
        <v>50</v>
      </c>
      <c r="AH25">
        <v>100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50</v>
      </c>
      <c r="AR25">
        <v>550</v>
      </c>
      <c r="AS25">
        <v>0</v>
      </c>
      <c r="AT25">
        <v>0</v>
      </c>
      <c r="AU25">
        <v>550</v>
      </c>
      <c r="AV25">
        <v>100</v>
      </c>
    </row>
    <row r="26" spans="1:48" hidden="1" x14ac:dyDescent="0.2">
      <c r="A26">
        <v>102</v>
      </c>
      <c r="B26" t="s">
        <v>56</v>
      </c>
      <c r="C26" t="s">
        <v>57</v>
      </c>
      <c r="D26" t="s">
        <v>56</v>
      </c>
      <c r="E26" t="s">
        <v>57</v>
      </c>
      <c r="F26">
        <v>5530</v>
      </c>
      <c r="G26" t="s">
        <v>117</v>
      </c>
      <c r="H26" t="s">
        <v>59</v>
      </c>
      <c r="I26" t="s">
        <v>122</v>
      </c>
      <c r="J26" s="2" t="s">
        <v>123</v>
      </c>
      <c r="K26" t="s">
        <v>124</v>
      </c>
      <c r="L26" s="2" t="s">
        <v>63</v>
      </c>
      <c r="M26" s="1">
        <v>45937</v>
      </c>
      <c r="N26" t="s">
        <v>64</v>
      </c>
      <c r="O26" t="s">
        <v>64</v>
      </c>
      <c r="Q26">
        <v>1221.05</v>
      </c>
      <c r="R26">
        <v>786.24</v>
      </c>
      <c r="S26">
        <v>0</v>
      </c>
      <c r="T26" s="2">
        <v>0</v>
      </c>
      <c r="U26" s="2">
        <v>0</v>
      </c>
      <c r="V26" s="2">
        <v>0</v>
      </c>
      <c r="W26" s="2">
        <v>0</v>
      </c>
      <c r="X26">
        <v>0</v>
      </c>
      <c r="Y26">
        <v>0</v>
      </c>
      <c r="Z26">
        <v>208</v>
      </c>
      <c r="AA26">
        <v>0</v>
      </c>
      <c r="AB26">
        <v>0</v>
      </c>
      <c r="AC26">
        <v>0</v>
      </c>
      <c r="AD26" s="2">
        <v>208</v>
      </c>
      <c r="AE26">
        <v>-208</v>
      </c>
      <c r="AF26">
        <v>0</v>
      </c>
      <c r="AG26">
        <v>-208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1094.83</v>
      </c>
      <c r="AT26">
        <v>0</v>
      </c>
      <c r="AU26">
        <v>-1094.83</v>
      </c>
      <c r="AV26">
        <v>0</v>
      </c>
    </row>
    <row r="27" spans="1:48" hidden="1" x14ac:dyDescent="0.2">
      <c r="A27">
        <v>102</v>
      </c>
      <c r="B27" t="s">
        <v>56</v>
      </c>
      <c r="C27" t="s">
        <v>57</v>
      </c>
      <c r="D27" t="s">
        <v>56</v>
      </c>
      <c r="E27" t="s">
        <v>57</v>
      </c>
      <c r="F27">
        <v>5530</v>
      </c>
      <c r="G27" t="s">
        <v>117</v>
      </c>
      <c r="H27" t="s">
        <v>68</v>
      </c>
      <c r="I27" t="s">
        <v>69</v>
      </c>
      <c r="J27" s="2" t="s">
        <v>125</v>
      </c>
      <c r="K27" t="s">
        <v>126</v>
      </c>
      <c r="L27" s="2" t="s">
        <v>86</v>
      </c>
      <c r="M27" s="1">
        <v>45987</v>
      </c>
      <c r="N27" s="1">
        <v>46030</v>
      </c>
      <c r="O27" t="s">
        <v>64</v>
      </c>
      <c r="Q27">
        <v>0</v>
      </c>
      <c r="R27">
        <v>0</v>
      </c>
      <c r="S27">
        <v>0</v>
      </c>
      <c r="T27" s="2">
        <v>0</v>
      </c>
      <c r="U27" s="2">
        <v>0</v>
      </c>
      <c r="V27" s="2">
        <v>0</v>
      </c>
      <c r="W27" s="2">
        <v>0</v>
      </c>
      <c r="X27">
        <v>0</v>
      </c>
      <c r="Y27">
        <v>0</v>
      </c>
      <c r="Z27">
        <v>0</v>
      </c>
      <c r="AA27">
        <v>8.67</v>
      </c>
      <c r="AB27">
        <v>0.78</v>
      </c>
      <c r="AC27">
        <v>0.48</v>
      </c>
      <c r="AD27" s="2">
        <v>9.93</v>
      </c>
      <c r="AE27">
        <v>-9.93</v>
      </c>
      <c r="AF27">
        <v>0</v>
      </c>
      <c r="AG27">
        <v>-9.93</v>
      </c>
      <c r="AH27">
        <v>0</v>
      </c>
      <c r="AI27">
        <v>0</v>
      </c>
      <c r="AJ27">
        <v>0.35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9.93</v>
      </c>
      <c r="AT27">
        <v>0</v>
      </c>
      <c r="AU27">
        <v>-9.93</v>
      </c>
      <c r="AV27">
        <v>0</v>
      </c>
    </row>
    <row r="28" spans="1:48" hidden="1" x14ac:dyDescent="0.2">
      <c r="A28">
        <v>102</v>
      </c>
      <c r="B28" t="s">
        <v>56</v>
      </c>
      <c r="C28" t="s">
        <v>57</v>
      </c>
      <c r="D28" t="s">
        <v>56</v>
      </c>
      <c r="E28" t="s">
        <v>57</v>
      </c>
      <c r="F28">
        <v>5530</v>
      </c>
      <c r="G28" t="s">
        <v>117</v>
      </c>
      <c r="H28" t="s">
        <v>68</v>
      </c>
      <c r="I28" t="s">
        <v>69</v>
      </c>
      <c r="J28" s="2" t="s">
        <v>127</v>
      </c>
      <c r="K28" t="s">
        <v>128</v>
      </c>
      <c r="L28" s="2" t="s">
        <v>86</v>
      </c>
      <c r="M28" s="1">
        <v>46013</v>
      </c>
      <c r="N28" s="1">
        <v>46031</v>
      </c>
      <c r="O28" s="1">
        <v>46022</v>
      </c>
      <c r="Q28">
        <v>0</v>
      </c>
      <c r="R28">
        <v>0</v>
      </c>
      <c r="S28">
        <v>0</v>
      </c>
      <c r="T28" s="2">
        <v>0</v>
      </c>
      <c r="U28" s="2">
        <v>0</v>
      </c>
      <c r="V28" s="2">
        <v>0</v>
      </c>
      <c r="W28" s="2">
        <v>662.52</v>
      </c>
      <c r="X28">
        <v>0</v>
      </c>
      <c r="Y28">
        <v>36.33</v>
      </c>
      <c r="Z28">
        <v>0.05</v>
      </c>
      <c r="AA28">
        <v>168.92</v>
      </c>
      <c r="AB28">
        <v>93.03</v>
      </c>
      <c r="AC28">
        <v>3.34</v>
      </c>
      <c r="AD28" s="2">
        <v>301.67</v>
      </c>
      <c r="AE28">
        <v>360.85</v>
      </c>
      <c r="AF28">
        <v>54.47</v>
      </c>
      <c r="AG28">
        <v>360.85</v>
      </c>
      <c r="AH28">
        <v>54.47</v>
      </c>
      <c r="AI28">
        <v>0</v>
      </c>
      <c r="AJ28">
        <v>9.0299999999999994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662.52</v>
      </c>
      <c r="AR28">
        <v>662.52</v>
      </c>
      <c r="AS28">
        <v>301.67</v>
      </c>
      <c r="AT28">
        <v>0</v>
      </c>
      <c r="AU28">
        <v>360.85</v>
      </c>
      <c r="AV28">
        <v>54.47</v>
      </c>
    </row>
    <row r="29" spans="1:48" hidden="1" x14ac:dyDescent="0.2">
      <c r="A29">
        <v>102</v>
      </c>
      <c r="B29" t="s">
        <v>56</v>
      </c>
      <c r="C29" t="s">
        <v>57</v>
      </c>
      <c r="D29" t="s">
        <v>56</v>
      </c>
      <c r="E29" t="s">
        <v>57</v>
      </c>
      <c r="F29">
        <v>5541</v>
      </c>
      <c r="G29" t="s">
        <v>129</v>
      </c>
      <c r="H29" t="s">
        <v>59</v>
      </c>
      <c r="I29" t="s">
        <v>60</v>
      </c>
      <c r="J29" s="2" t="s">
        <v>130</v>
      </c>
      <c r="K29" t="s">
        <v>131</v>
      </c>
      <c r="L29" s="2" t="s">
        <v>63</v>
      </c>
      <c r="M29" s="1">
        <v>45689</v>
      </c>
      <c r="N29" t="s">
        <v>64</v>
      </c>
      <c r="O29" s="1">
        <v>46022</v>
      </c>
      <c r="P29" t="s">
        <v>65</v>
      </c>
      <c r="Q29">
        <v>4875</v>
      </c>
      <c r="R29">
        <v>4237.8</v>
      </c>
      <c r="S29">
        <v>0</v>
      </c>
      <c r="T29" s="2">
        <v>0</v>
      </c>
      <c r="U29" s="2">
        <v>0</v>
      </c>
      <c r="V29" s="2">
        <v>0</v>
      </c>
      <c r="W29" s="2">
        <v>406.25</v>
      </c>
      <c r="X29">
        <v>0</v>
      </c>
      <c r="Y29">
        <v>0</v>
      </c>
      <c r="Z29">
        <v>0</v>
      </c>
      <c r="AA29">
        <v>334.11</v>
      </c>
      <c r="AB29">
        <v>20.86</v>
      </c>
      <c r="AC29">
        <v>0</v>
      </c>
      <c r="AD29" s="2">
        <v>354.97</v>
      </c>
      <c r="AE29">
        <v>51.28</v>
      </c>
      <c r="AF29">
        <v>12.62</v>
      </c>
      <c r="AG29">
        <v>51.28</v>
      </c>
      <c r="AH29">
        <v>12.62</v>
      </c>
      <c r="AI29">
        <v>0</v>
      </c>
      <c r="AJ29">
        <v>14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406.25</v>
      </c>
      <c r="AR29">
        <v>4509.45</v>
      </c>
      <c r="AS29">
        <v>2387.16</v>
      </c>
      <c r="AT29">
        <v>0</v>
      </c>
      <c r="AU29">
        <v>2122.29</v>
      </c>
      <c r="AV29">
        <v>47.06</v>
      </c>
    </row>
    <row r="30" spans="1:48" hidden="1" x14ac:dyDescent="0.2">
      <c r="A30">
        <v>102</v>
      </c>
      <c r="B30" t="s">
        <v>56</v>
      </c>
      <c r="C30" t="s">
        <v>57</v>
      </c>
      <c r="D30" t="s">
        <v>56</v>
      </c>
      <c r="E30" t="s">
        <v>57</v>
      </c>
      <c r="F30">
        <v>5541</v>
      </c>
      <c r="G30" t="s">
        <v>129</v>
      </c>
      <c r="H30" t="s">
        <v>59</v>
      </c>
      <c r="I30" t="s">
        <v>60</v>
      </c>
      <c r="J30" s="2" t="s">
        <v>132</v>
      </c>
      <c r="K30" t="s">
        <v>133</v>
      </c>
      <c r="L30" s="2" t="s">
        <v>63</v>
      </c>
      <c r="M30" s="1">
        <v>45689</v>
      </c>
      <c r="N30" t="s">
        <v>64</v>
      </c>
      <c r="O30" s="1">
        <v>46022</v>
      </c>
      <c r="P30" t="s">
        <v>65</v>
      </c>
      <c r="Q30">
        <v>600</v>
      </c>
      <c r="R30">
        <v>0</v>
      </c>
      <c r="S30">
        <v>0</v>
      </c>
      <c r="T30" s="2">
        <v>0</v>
      </c>
      <c r="U30" s="2">
        <v>0</v>
      </c>
      <c r="V30" s="2">
        <v>0</v>
      </c>
      <c r="W30" s="2">
        <v>50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 s="2">
        <v>0</v>
      </c>
      <c r="AE30">
        <v>50</v>
      </c>
      <c r="AF30">
        <v>100</v>
      </c>
      <c r="AG30">
        <v>50</v>
      </c>
      <c r="AH30">
        <v>100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50</v>
      </c>
      <c r="AR30">
        <v>550</v>
      </c>
      <c r="AS30">
        <v>0</v>
      </c>
      <c r="AT30">
        <v>0</v>
      </c>
      <c r="AU30">
        <v>550</v>
      </c>
      <c r="AV30">
        <v>100</v>
      </c>
    </row>
    <row r="31" spans="1:48" hidden="1" x14ac:dyDescent="0.2">
      <c r="A31">
        <v>102</v>
      </c>
      <c r="B31" t="s">
        <v>134</v>
      </c>
      <c r="C31" t="s">
        <v>135</v>
      </c>
      <c r="D31" t="s">
        <v>134</v>
      </c>
      <c r="E31" t="s">
        <v>135</v>
      </c>
      <c r="F31">
        <v>1</v>
      </c>
      <c r="G31" t="s">
        <v>136</v>
      </c>
      <c r="H31" t="s">
        <v>137</v>
      </c>
      <c r="I31" t="s">
        <v>60</v>
      </c>
      <c r="J31" s="2" t="s">
        <v>138</v>
      </c>
      <c r="K31" t="s">
        <v>139</v>
      </c>
      <c r="L31" s="2" t="s">
        <v>63</v>
      </c>
      <c r="M31" s="1">
        <v>46023</v>
      </c>
      <c r="N31" t="s">
        <v>64</v>
      </c>
      <c r="O31" s="1">
        <v>46022</v>
      </c>
      <c r="P31" t="s">
        <v>65</v>
      </c>
      <c r="Q31">
        <v>2995.72</v>
      </c>
      <c r="R31">
        <v>2093.98</v>
      </c>
      <c r="S31">
        <v>0</v>
      </c>
      <c r="T31" s="2">
        <v>0</v>
      </c>
      <c r="U31" s="2">
        <v>0</v>
      </c>
      <c r="V31" s="2">
        <v>0</v>
      </c>
      <c r="W31" s="2">
        <v>249.64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 s="2">
        <v>0</v>
      </c>
      <c r="AE31">
        <v>249.64</v>
      </c>
      <c r="AF31">
        <v>100</v>
      </c>
      <c r="AG31">
        <v>249.64</v>
      </c>
      <c r="AH31">
        <v>100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249.64</v>
      </c>
      <c r="AR31">
        <v>0</v>
      </c>
      <c r="AS31">
        <v>0</v>
      </c>
      <c r="AT31">
        <v>0</v>
      </c>
      <c r="AU31">
        <v>0</v>
      </c>
      <c r="AV31">
        <v>0</v>
      </c>
    </row>
    <row r="32" spans="1:48" hidden="1" x14ac:dyDescent="0.2">
      <c r="A32">
        <v>102</v>
      </c>
      <c r="B32" t="s">
        <v>134</v>
      </c>
      <c r="C32" t="s">
        <v>135</v>
      </c>
      <c r="D32" t="s">
        <v>134</v>
      </c>
      <c r="E32" t="s">
        <v>135</v>
      </c>
      <c r="F32">
        <v>1</v>
      </c>
      <c r="G32" t="s">
        <v>136</v>
      </c>
      <c r="H32" t="s">
        <v>104</v>
      </c>
      <c r="I32" t="s">
        <v>122</v>
      </c>
      <c r="J32" s="2" t="s">
        <v>140</v>
      </c>
      <c r="K32" t="s">
        <v>141</v>
      </c>
      <c r="L32" s="2" t="s">
        <v>86</v>
      </c>
      <c r="M32" s="1">
        <v>45972</v>
      </c>
      <c r="N32" s="1">
        <v>46013</v>
      </c>
      <c r="O32" s="1">
        <v>46013</v>
      </c>
      <c r="Q32">
        <v>5390.7</v>
      </c>
      <c r="R32">
        <v>3717.32</v>
      </c>
      <c r="S32">
        <v>0</v>
      </c>
      <c r="T32" s="2">
        <v>0</v>
      </c>
      <c r="U32" s="2">
        <v>0</v>
      </c>
      <c r="V32" s="2">
        <v>0</v>
      </c>
      <c r="W32" s="2">
        <v>5390.7</v>
      </c>
      <c r="X32">
        <v>0</v>
      </c>
      <c r="Y32">
        <v>0</v>
      </c>
      <c r="Z32">
        <v>3417.32</v>
      </c>
      <c r="AA32">
        <v>0</v>
      </c>
      <c r="AB32">
        <v>0</v>
      </c>
      <c r="AC32">
        <v>0</v>
      </c>
      <c r="AD32" s="2">
        <v>3417.32</v>
      </c>
      <c r="AE32">
        <v>1973.38</v>
      </c>
      <c r="AF32">
        <v>36.61</v>
      </c>
      <c r="AG32">
        <v>1973.38</v>
      </c>
      <c r="AH32">
        <v>36.61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5390.7</v>
      </c>
      <c r="AR32">
        <v>5390.7</v>
      </c>
      <c r="AS32">
        <v>3456.01</v>
      </c>
      <c r="AT32">
        <v>0</v>
      </c>
      <c r="AU32">
        <v>1934.69</v>
      </c>
      <c r="AV32">
        <v>35.89</v>
      </c>
    </row>
    <row r="33" spans="1:48" hidden="1" x14ac:dyDescent="0.2">
      <c r="A33">
        <v>102</v>
      </c>
      <c r="B33" t="s">
        <v>134</v>
      </c>
      <c r="C33" t="s">
        <v>135</v>
      </c>
      <c r="D33" t="s">
        <v>134</v>
      </c>
      <c r="E33" t="s">
        <v>135</v>
      </c>
      <c r="F33">
        <v>1</v>
      </c>
      <c r="G33" t="s">
        <v>136</v>
      </c>
      <c r="H33" t="s">
        <v>104</v>
      </c>
      <c r="I33" t="s">
        <v>69</v>
      </c>
      <c r="J33" s="2" t="s">
        <v>142</v>
      </c>
      <c r="K33" t="s">
        <v>143</v>
      </c>
      <c r="L33" s="2" t="s">
        <v>86</v>
      </c>
      <c r="M33" s="1">
        <v>45978</v>
      </c>
      <c r="N33" s="1">
        <v>45993</v>
      </c>
      <c r="O33" s="1">
        <v>46002</v>
      </c>
      <c r="Q33">
        <v>0</v>
      </c>
      <c r="R33">
        <v>0</v>
      </c>
      <c r="S33">
        <v>0</v>
      </c>
      <c r="T33" s="2">
        <v>0</v>
      </c>
      <c r="U33" s="2">
        <v>0</v>
      </c>
      <c r="V33" s="2">
        <v>0</v>
      </c>
      <c r="W33" s="2">
        <v>348.53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 s="2">
        <v>0</v>
      </c>
      <c r="AE33">
        <v>348.53</v>
      </c>
      <c r="AF33">
        <v>100</v>
      </c>
      <c r="AG33">
        <v>348.53</v>
      </c>
      <c r="AH33">
        <v>100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348.53</v>
      </c>
      <c r="AR33">
        <v>348.53</v>
      </c>
      <c r="AS33">
        <v>170.32</v>
      </c>
      <c r="AT33">
        <v>0</v>
      </c>
      <c r="AU33">
        <v>178.21</v>
      </c>
      <c r="AV33">
        <v>51.13</v>
      </c>
    </row>
    <row r="34" spans="1:48" hidden="1" x14ac:dyDescent="0.2">
      <c r="A34">
        <v>102</v>
      </c>
      <c r="B34" t="s">
        <v>134</v>
      </c>
      <c r="C34" t="s">
        <v>135</v>
      </c>
      <c r="D34" t="s">
        <v>134</v>
      </c>
      <c r="E34" t="s">
        <v>135</v>
      </c>
      <c r="F34">
        <v>1</v>
      </c>
      <c r="G34" t="s">
        <v>136</v>
      </c>
      <c r="H34" t="s">
        <v>68</v>
      </c>
      <c r="I34" t="s">
        <v>69</v>
      </c>
      <c r="J34" s="2" t="s">
        <v>144</v>
      </c>
      <c r="K34" t="s">
        <v>145</v>
      </c>
      <c r="L34" s="2" t="s">
        <v>86</v>
      </c>
      <c r="M34" s="1">
        <v>45981</v>
      </c>
      <c r="N34" s="1">
        <v>45993</v>
      </c>
      <c r="O34" s="1">
        <v>46002</v>
      </c>
      <c r="Q34">
        <v>0</v>
      </c>
      <c r="R34">
        <v>0</v>
      </c>
      <c r="S34">
        <v>0</v>
      </c>
      <c r="T34" s="2">
        <v>0</v>
      </c>
      <c r="U34" s="2">
        <v>0</v>
      </c>
      <c r="V34" s="2">
        <v>0</v>
      </c>
      <c r="W34" s="2">
        <v>3652.96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 s="2">
        <v>0</v>
      </c>
      <c r="AE34">
        <v>3652.96</v>
      </c>
      <c r="AF34">
        <v>100</v>
      </c>
      <c r="AG34">
        <v>3652.96</v>
      </c>
      <c r="AH34">
        <v>100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3652.96</v>
      </c>
      <c r="AR34">
        <v>3652.96</v>
      </c>
      <c r="AS34">
        <v>2096.77</v>
      </c>
      <c r="AT34">
        <v>0</v>
      </c>
      <c r="AU34">
        <v>1556.19</v>
      </c>
      <c r="AV34">
        <v>42.6</v>
      </c>
    </row>
    <row r="35" spans="1:48" hidden="1" x14ac:dyDescent="0.2">
      <c r="A35">
        <v>102</v>
      </c>
      <c r="B35" t="s">
        <v>134</v>
      </c>
      <c r="C35" t="s">
        <v>135</v>
      </c>
      <c r="D35" t="s">
        <v>134</v>
      </c>
      <c r="E35" t="s">
        <v>135</v>
      </c>
      <c r="F35">
        <v>1</v>
      </c>
      <c r="G35" t="s">
        <v>136</v>
      </c>
      <c r="H35" t="s">
        <v>68</v>
      </c>
      <c r="I35" t="s">
        <v>69</v>
      </c>
      <c r="J35" s="2" t="s">
        <v>146</v>
      </c>
      <c r="K35" t="s">
        <v>147</v>
      </c>
      <c r="L35" s="2" t="s">
        <v>86</v>
      </c>
      <c r="M35" s="1">
        <v>45996</v>
      </c>
      <c r="N35" s="1">
        <v>46034</v>
      </c>
      <c r="O35" s="1">
        <v>46037</v>
      </c>
      <c r="Q35">
        <v>0</v>
      </c>
      <c r="R35">
        <v>0</v>
      </c>
      <c r="S35">
        <v>0</v>
      </c>
      <c r="T35" s="2">
        <v>0</v>
      </c>
      <c r="U35" s="2">
        <v>0</v>
      </c>
      <c r="V35" s="2">
        <v>0</v>
      </c>
      <c r="W35" s="2">
        <v>0</v>
      </c>
      <c r="X35">
        <v>0</v>
      </c>
      <c r="Y35">
        <v>809.87</v>
      </c>
      <c r="Z35">
        <v>0</v>
      </c>
      <c r="AA35">
        <v>669.88</v>
      </c>
      <c r="AB35">
        <v>37.44</v>
      </c>
      <c r="AC35">
        <v>12.5</v>
      </c>
      <c r="AD35" s="2">
        <v>1529.69</v>
      </c>
      <c r="AE35">
        <v>-1529.69</v>
      </c>
      <c r="AF35">
        <v>0</v>
      </c>
      <c r="AG35">
        <v>-1529.69</v>
      </c>
      <c r="AH35">
        <v>0</v>
      </c>
      <c r="AI35">
        <v>0</v>
      </c>
      <c r="AJ35">
        <v>27.03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1529.69</v>
      </c>
      <c r="AT35">
        <v>0</v>
      </c>
      <c r="AU35">
        <v>-1529.69</v>
      </c>
      <c r="AV35">
        <v>0</v>
      </c>
    </row>
    <row r="36" spans="1:48" hidden="1" x14ac:dyDescent="0.2">
      <c r="A36">
        <v>102</v>
      </c>
      <c r="B36" t="s">
        <v>134</v>
      </c>
      <c r="C36" t="s">
        <v>135</v>
      </c>
      <c r="D36" t="s">
        <v>134</v>
      </c>
      <c r="E36" t="s">
        <v>135</v>
      </c>
      <c r="F36">
        <v>1</v>
      </c>
      <c r="G36" t="s">
        <v>136</v>
      </c>
      <c r="H36" t="s">
        <v>68</v>
      </c>
      <c r="I36" t="s">
        <v>69</v>
      </c>
      <c r="J36" s="2" t="s">
        <v>148</v>
      </c>
      <c r="K36" t="s">
        <v>149</v>
      </c>
      <c r="L36" s="2" t="s">
        <v>86</v>
      </c>
      <c r="M36" s="1">
        <v>46002</v>
      </c>
      <c r="N36" s="1">
        <v>46014</v>
      </c>
      <c r="O36" s="1">
        <v>46037</v>
      </c>
      <c r="Q36">
        <v>0</v>
      </c>
      <c r="R36">
        <v>0</v>
      </c>
      <c r="S36">
        <v>0</v>
      </c>
      <c r="T36" s="2">
        <v>0</v>
      </c>
      <c r="U36" s="2">
        <v>0</v>
      </c>
      <c r="V36" s="2">
        <v>0</v>
      </c>
      <c r="W36" s="2">
        <v>0</v>
      </c>
      <c r="X36">
        <v>0</v>
      </c>
      <c r="Y36">
        <v>0</v>
      </c>
      <c r="Z36">
        <v>0</v>
      </c>
      <c r="AA36">
        <v>34.28</v>
      </c>
      <c r="AB36">
        <v>23.57</v>
      </c>
      <c r="AC36">
        <v>3.34</v>
      </c>
      <c r="AD36" s="2">
        <v>61.19</v>
      </c>
      <c r="AE36">
        <v>-61.19</v>
      </c>
      <c r="AF36">
        <v>0</v>
      </c>
      <c r="AG36">
        <v>-61.19</v>
      </c>
      <c r="AH36">
        <v>0</v>
      </c>
      <c r="AI36">
        <v>0</v>
      </c>
      <c r="AJ36">
        <v>1.88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61.19</v>
      </c>
      <c r="AT36">
        <v>0</v>
      </c>
      <c r="AU36">
        <v>-61.19</v>
      </c>
      <c r="AV36">
        <v>0</v>
      </c>
    </row>
    <row r="37" spans="1:48" hidden="1" x14ac:dyDescent="0.2">
      <c r="A37">
        <v>102</v>
      </c>
      <c r="B37" t="s">
        <v>134</v>
      </c>
      <c r="C37" t="s">
        <v>135</v>
      </c>
      <c r="D37" t="s">
        <v>134</v>
      </c>
      <c r="E37" t="s">
        <v>135</v>
      </c>
      <c r="F37">
        <v>1</v>
      </c>
      <c r="G37" t="s">
        <v>136</v>
      </c>
      <c r="H37" t="s">
        <v>68</v>
      </c>
      <c r="I37" t="s">
        <v>69</v>
      </c>
      <c r="J37" s="2" t="s">
        <v>150</v>
      </c>
      <c r="K37" t="s">
        <v>151</v>
      </c>
      <c r="L37" s="2" t="s">
        <v>63</v>
      </c>
      <c r="M37" s="1">
        <v>46020</v>
      </c>
      <c r="N37" t="s">
        <v>64</v>
      </c>
      <c r="O37" t="s">
        <v>64</v>
      </c>
      <c r="Q37">
        <v>0</v>
      </c>
      <c r="R37">
        <v>0</v>
      </c>
      <c r="S37">
        <v>0</v>
      </c>
      <c r="T37" s="2">
        <v>1180.72</v>
      </c>
      <c r="U37" s="2">
        <v>0</v>
      </c>
      <c r="V37" s="2">
        <v>0</v>
      </c>
      <c r="W37" s="2">
        <v>0</v>
      </c>
      <c r="X37">
        <v>0</v>
      </c>
      <c r="Y37">
        <v>17.170000000000002</v>
      </c>
      <c r="Z37">
        <v>0</v>
      </c>
      <c r="AA37">
        <v>586.04</v>
      </c>
      <c r="AB37">
        <v>221.09</v>
      </c>
      <c r="AC37">
        <v>34.76</v>
      </c>
      <c r="AD37" s="2">
        <v>859.06</v>
      </c>
      <c r="AE37">
        <v>-859.06</v>
      </c>
      <c r="AF37">
        <v>0</v>
      </c>
      <c r="AG37">
        <v>321.66000000000003</v>
      </c>
      <c r="AH37">
        <v>27.24</v>
      </c>
      <c r="AI37">
        <v>0</v>
      </c>
      <c r="AJ37">
        <v>24.27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859.06</v>
      </c>
      <c r="AT37">
        <v>0</v>
      </c>
      <c r="AU37">
        <v>-859.06</v>
      </c>
      <c r="AV37">
        <v>0</v>
      </c>
    </row>
    <row r="38" spans="1:48" hidden="1" x14ac:dyDescent="0.2">
      <c r="A38">
        <v>102</v>
      </c>
      <c r="B38" t="s">
        <v>152</v>
      </c>
      <c r="C38" t="s">
        <v>153</v>
      </c>
      <c r="D38" t="s">
        <v>152</v>
      </c>
      <c r="E38" t="s">
        <v>153</v>
      </c>
      <c r="F38">
        <v>39</v>
      </c>
      <c r="G38" t="s">
        <v>154</v>
      </c>
      <c r="H38" t="s">
        <v>137</v>
      </c>
      <c r="I38" t="s">
        <v>60</v>
      </c>
      <c r="J38" s="2" t="s">
        <v>155</v>
      </c>
      <c r="K38" t="s">
        <v>156</v>
      </c>
      <c r="L38" s="2" t="s">
        <v>63</v>
      </c>
      <c r="M38" s="1">
        <v>45778</v>
      </c>
      <c r="N38" t="s">
        <v>64</v>
      </c>
      <c r="O38" s="1">
        <v>46022</v>
      </c>
      <c r="P38" t="s">
        <v>65</v>
      </c>
      <c r="Q38">
        <v>625</v>
      </c>
      <c r="R38">
        <v>391.83</v>
      </c>
      <c r="S38">
        <v>0</v>
      </c>
      <c r="T38" s="2">
        <v>0</v>
      </c>
      <c r="U38" s="2">
        <v>0</v>
      </c>
      <c r="V38" s="2">
        <v>0</v>
      </c>
      <c r="W38" s="2">
        <v>432.31</v>
      </c>
      <c r="X38">
        <v>0</v>
      </c>
      <c r="Y38">
        <v>57.99</v>
      </c>
      <c r="Z38">
        <v>0</v>
      </c>
      <c r="AA38">
        <v>118.94</v>
      </c>
      <c r="AB38">
        <v>35.68</v>
      </c>
      <c r="AC38">
        <v>8.58</v>
      </c>
      <c r="AD38" s="2">
        <v>221.19</v>
      </c>
      <c r="AE38">
        <v>211.12</v>
      </c>
      <c r="AF38">
        <v>48.84</v>
      </c>
      <c r="AG38">
        <v>211.12</v>
      </c>
      <c r="AH38">
        <v>48.84</v>
      </c>
      <c r="AI38">
        <v>0</v>
      </c>
      <c r="AJ38">
        <v>5.6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432.31</v>
      </c>
      <c r="AR38">
        <v>744.81</v>
      </c>
      <c r="AS38">
        <v>443.03</v>
      </c>
      <c r="AT38">
        <v>0</v>
      </c>
      <c r="AU38">
        <v>301.77999999999997</v>
      </c>
      <c r="AV38">
        <v>40.520000000000003</v>
      </c>
    </row>
    <row r="39" spans="1:48" hidden="1" x14ac:dyDescent="0.2">
      <c r="A39">
        <v>102</v>
      </c>
      <c r="B39" t="s">
        <v>152</v>
      </c>
      <c r="C39" t="s">
        <v>153</v>
      </c>
      <c r="D39" t="s">
        <v>152</v>
      </c>
      <c r="E39" t="s">
        <v>153</v>
      </c>
      <c r="F39">
        <v>39</v>
      </c>
      <c r="G39" t="s">
        <v>154</v>
      </c>
      <c r="H39" t="s">
        <v>68</v>
      </c>
      <c r="I39" t="s">
        <v>69</v>
      </c>
      <c r="J39" s="2" t="s">
        <v>157</v>
      </c>
      <c r="K39" t="s">
        <v>158</v>
      </c>
      <c r="L39" s="2" t="s">
        <v>86</v>
      </c>
      <c r="M39" s="1">
        <v>45985</v>
      </c>
      <c r="N39" s="1">
        <v>45995</v>
      </c>
      <c r="O39" s="1">
        <v>45991</v>
      </c>
      <c r="Q39">
        <v>0</v>
      </c>
      <c r="R39">
        <v>0</v>
      </c>
      <c r="S39">
        <v>0</v>
      </c>
      <c r="T39" s="2">
        <v>0</v>
      </c>
      <c r="U39" s="2">
        <v>0</v>
      </c>
      <c r="V39" s="2">
        <v>0</v>
      </c>
      <c r="W39" s="2">
        <v>0</v>
      </c>
      <c r="X39">
        <v>0</v>
      </c>
      <c r="Y39">
        <v>0</v>
      </c>
      <c r="Z39">
        <v>283.3</v>
      </c>
      <c r="AA39">
        <v>0</v>
      </c>
      <c r="AB39">
        <v>0</v>
      </c>
      <c r="AC39">
        <v>0</v>
      </c>
      <c r="AD39" s="2">
        <v>283.3</v>
      </c>
      <c r="AE39">
        <v>-283.3</v>
      </c>
      <c r="AF39">
        <v>0</v>
      </c>
      <c r="AG39">
        <v>-283.3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2619.63</v>
      </c>
      <c r="AS39">
        <v>1597.95</v>
      </c>
      <c r="AT39">
        <v>0</v>
      </c>
      <c r="AU39">
        <v>1021.68</v>
      </c>
      <c r="AV39">
        <v>39</v>
      </c>
    </row>
    <row r="40" spans="1:48" hidden="1" x14ac:dyDescent="0.2">
      <c r="A40">
        <v>102</v>
      </c>
      <c r="B40" t="s">
        <v>152</v>
      </c>
      <c r="C40" t="s">
        <v>153</v>
      </c>
      <c r="D40" t="s">
        <v>152</v>
      </c>
      <c r="E40" t="s">
        <v>153</v>
      </c>
      <c r="F40">
        <v>35</v>
      </c>
      <c r="G40" t="s">
        <v>159</v>
      </c>
      <c r="H40" t="s">
        <v>137</v>
      </c>
      <c r="I40" t="s">
        <v>60</v>
      </c>
      <c r="J40" s="2" t="s">
        <v>160</v>
      </c>
      <c r="K40" t="s">
        <v>161</v>
      </c>
      <c r="L40" s="2" t="s">
        <v>63</v>
      </c>
      <c r="M40" s="1">
        <v>45778</v>
      </c>
      <c r="N40" t="s">
        <v>64</v>
      </c>
      <c r="O40" s="1">
        <v>45900</v>
      </c>
      <c r="P40" t="s">
        <v>65</v>
      </c>
      <c r="Q40">
        <v>700</v>
      </c>
      <c r="R40">
        <v>564.24</v>
      </c>
      <c r="S40">
        <v>0</v>
      </c>
      <c r="T40" s="2">
        <v>0</v>
      </c>
      <c r="U40" s="2">
        <v>0</v>
      </c>
      <c r="V40" s="2">
        <v>0</v>
      </c>
      <c r="W40" s="2">
        <v>0</v>
      </c>
      <c r="X40">
        <v>0</v>
      </c>
      <c r="Y40">
        <v>0</v>
      </c>
      <c r="Z40">
        <v>0</v>
      </c>
      <c r="AA40">
        <v>40.47</v>
      </c>
      <c r="AB40">
        <v>4.68</v>
      </c>
      <c r="AC40">
        <v>0</v>
      </c>
      <c r="AD40" s="2">
        <v>45.15</v>
      </c>
      <c r="AE40">
        <v>-45.15</v>
      </c>
      <c r="AF40">
        <v>0</v>
      </c>
      <c r="AG40">
        <v>-45.15</v>
      </c>
      <c r="AH40">
        <v>0</v>
      </c>
      <c r="AI40">
        <v>0</v>
      </c>
      <c r="AJ40">
        <v>1.63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677.5</v>
      </c>
      <c r="AS40">
        <v>437.71</v>
      </c>
      <c r="AT40">
        <v>0</v>
      </c>
      <c r="AU40">
        <v>239.79</v>
      </c>
      <c r="AV40">
        <v>35.39</v>
      </c>
    </row>
    <row r="41" spans="1:48" hidden="1" x14ac:dyDescent="0.2">
      <c r="A41">
        <v>102</v>
      </c>
      <c r="B41" t="s">
        <v>152</v>
      </c>
      <c r="C41" t="s">
        <v>153</v>
      </c>
      <c r="D41" t="s">
        <v>152</v>
      </c>
      <c r="E41" t="s">
        <v>153</v>
      </c>
      <c r="F41">
        <v>35</v>
      </c>
      <c r="G41" t="s">
        <v>159</v>
      </c>
      <c r="H41" t="s">
        <v>68</v>
      </c>
      <c r="I41" t="s">
        <v>69</v>
      </c>
      <c r="J41" s="2" t="s">
        <v>162</v>
      </c>
      <c r="K41" t="s">
        <v>163</v>
      </c>
      <c r="L41" s="2" t="s">
        <v>63</v>
      </c>
      <c r="M41" s="1">
        <v>45992</v>
      </c>
      <c r="N41" t="s">
        <v>64</v>
      </c>
      <c r="O41" t="s">
        <v>64</v>
      </c>
      <c r="Q41">
        <v>0</v>
      </c>
      <c r="R41">
        <v>0</v>
      </c>
      <c r="S41">
        <v>0</v>
      </c>
      <c r="T41" s="2">
        <v>384.25</v>
      </c>
      <c r="U41" s="2">
        <v>0</v>
      </c>
      <c r="V41" s="2">
        <v>0</v>
      </c>
      <c r="W41" s="2">
        <v>0</v>
      </c>
      <c r="X41">
        <v>0</v>
      </c>
      <c r="Y41">
        <v>93.15</v>
      </c>
      <c r="Z41">
        <v>0</v>
      </c>
      <c r="AA41">
        <v>48.94</v>
      </c>
      <c r="AB41">
        <v>4.45</v>
      </c>
      <c r="AC41">
        <v>3.6</v>
      </c>
      <c r="AD41" s="2">
        <v>150.13999999999999</v>
      </c>
      <c r="AE41">
        <v>-150.13999999999999</v>
      </c>
      <c r="AF41">
        <v>0</v>
      </c>
      <c r="AG41">
        <v>234.11</v>
      </c>
      <c r="AH41">
        <v>60.93</v>
      </c>
      <c r="AI41">
        <v>0</v>
      </c>
      <c r="AJ41">
        <v>2.2000000000000002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150.13999999999999</v>
      </c>
      <c r="AT41">
        <v>0</v>
      </c>
      <c r="AU41">
        <v>-150.13999999999999</v>
      </c>
      <c r="AV41">
        <v>0</v>
      </c>
    </row>
    <row r="42" spans="1:48" hidden="1" x14ac:dyDescent="0.2">
      <c r="A42">
        <v>102</v>
      </c>
      <c r="B42" t="s">
        <v>164</v>
      </c>
      <c r="C42" t="s">
        <v>165</v>
      </c>
      <c r="D42" t="s">
        <v>164</v>
      </c>
      <c r="E42" t="s">
        <v>165</v>
      </c>
      <c r="F42">
        <v>102</v>
      </c>
      <c r="G42" t="s">
        <v>166</v>
      </c>
      <c r="H42" t="s">
        <v>167</v>
      </c>
      <c r="I42" t="s">
        <v>60</v>
      </c>
      <c r="J42" s="2" t="s">
        <v>168</v>
      </c>
      <c r="K42" t="s">
        <v>169</v>
      </c>
      <c r="L42" s="2" t="s">
        <v>63</v>
      </c>
      <c r="M42" s="1">
        <v>46023</v>
      </c>
      <c r="N42" t="s">
        <v>64</v>
      </c>
      <c r="O42" t="s">
        <v>64</v>
      </c>
      <c r="P42" t="s">
        <v>65</v>
      </c>
      <c r="Q42">
        <v>0</v>
      </c>
      <c r="R42">
        <v>0</v>
      </c>
      <c r="S42">
        <v>0</v>
      </c>
      <c r="T42" s="2">
        <v>0</v>
      </c>
      <c r="U42" s="2">
        <v>0</v>
      </c>
      <c r="V42" s="2">
        <v>0</v>
      </c>
      <c r="W42" s="2">
        <v>0</v>
      </c>
      <c r="X42">
        <v>0.72</v>
      </c>
      <c r="Y42">
        <v>0</v>
      </c>
      <c r="Z42">
        <v>0</v>
      </c>
      <c r="AA42">
        <v>1687.42</v>
      </c>
      <c r="AB42">
        <v>462.86</v>
      </c>
      <c r="AC42">
        <v>91.05</v>
      </c>
      <c r="AD42" s="2">
        <v>2241.33</v>
      </c>
      <c r="AE42">
        <v>-2241.33</v>
      </c>
      <c r="AF42">
        <v>0</v>
      </c>
      <c r="AG42">
        <v>-2242.0500000000002</v>
      </c>
      <c r="AH42">
        <v>0</v>
      </c>
      <c r="AI42">
        <v>0</v>
      </c>
      <c r="AJ42">
        <v>77.75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</row>
    <row r="43" spans="1:48" hidden="1" x14ac:dyDescent="0.2">
      <c r="A43">
        <v>102</v>
      </c>
      <c r="B43" t="s">
        <v>170</v>
      </c>
      <c r="C43" t="s">
        <v>171</v>
      </c>
      <c r="D43" t="s">
        <v>170</v>
      </c>
      <c r="E43" t="s">
        <v>171</v>
      </c>
      <c r="F43">
        <v>2</v>
      </c>
      <c r="G43" t="s">
        <v>172</v>
      </c>
      <c r="H43" t="s">
        <v>173</v>
      </c>
      <c r="I43" t="s">
        <v>60</v>
      </c>
      <c r="J43" s="2" t="s">
        <v>174</v>
      </c>
      <c r="K43" t="s">
        <v>175</v>
      </c>
      <c r="L43" s="2" t="s">
        <v>63</v>
      </c>
      <c r="M43" s="1">
        <v>46023</v>
      </c>
      <c r="N43" t="s">
        <v>64</v>
      </c>
      <c r="O43" s="1">
        <v>45991</v>
      </c>
      <c r="P43" t="s">
        <v>65</v>
      </c>
      <c r="Q43">
        <v>2855.88</v>
      </c>
      <c r="R43">
        <v>1732</v>
      </c>
      <c r="S43">
        <v>0</v>
      </c>
      <c r="T43" s="2">
        <v>0</v>
      </c>
      <c r="U43" s="2">
        <v>0</v>
      </c>
      <c r="V43" s="2">
        <v>0</v>
      </c>
      <c r="W43" s="2">
        <v>0</v>
      </c>
      <c r="X43">
        <v>0</v>
      </c>
      <c r="Y43">
        <v>0</v>
      </c>
      <c r="Z43">
        <v>0</v>
      </c>
      <c r="AA43">
        <v>114.81</v>
      </c>
      <c r="AB43">
        <v>0</v>
      </c>
      <c r="AC43">
        <v>8.26</v>
      </c>
      <c r="AD43" s="2">
        <v>123.07</v>
      </c>
      <c r="AE43">
        <v>-123.07</v>
      </c>
      <c r="AF43">
        <v>0</v>
      </c>
      <c r="AG43">
        <v>-123.07</v>
      </c>
      <c r="AH43">
        <v>0</v>
      </c>
      <c r="AI43">
        <v>0</v>
      </c>
      <c r="AJ43">
        <v>4.63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</row>
    <row r="44" spans="1:48" x14ac:dyDescent="0.2">
      <c r="A44">
        <v>102</v>
      </c>
      <c r="B44" t="s">
        <v>170</v>
      </c>
      <c r="C44" t="s">
        <v>171</v>
      </c>
      <c r="D44" t="s">
        <v>170</v>
      </c>
      <c r="E44" t="s">
        <v>171</v>
      </c>
      <c r="F44">
        <v>2</v>
      </c>
      <c r="G44" s="3" t="s">
        <v>172</v>
      </c>
      <c r="H44" t="s">
        <v>176</v>
      </c>
      <c r="I44" t="s">
        <v>52</v>
      </c>
      <c r="J44" s="2" t="s">
        <v>177</v>
      </c>
      <c r="K44" t="s">
        <v>178</v>
      </c>
      <c r="L44" s="2" t="s">
        <v>55</v>
      </c>
      <c r="M44" s="1">
        <v>45659</v>
      </c>
      <c r="N44" s="1">
        <v>46022</v>
      </c>
      <c r="O44" s="1">
        <v>45891</v>
      </c>
      <c r="Q44">
        <v>109000</v>
      </c>
      <c r="R44">
        <v>94782.6</v>
      </c>
      <c r="S44">
        <v>109000</v>
      </c>
      <c r="T44" s="2">
        <v>0</v>
      </c>
      <c r="U44" s="2">
        <v>0</v>
      </c>
      <c r="V44" s="2">
        <v>0</v>
      </c>
      <c r="W44" s="2">
        <v>0</v>
      </c>
      <c r="X44">
        <v>0</v>
      </c>
      <c r="Y44">
        <v>20864.55</v>
      </c>
      <c r="Z44">
        <v>0</v>
      </c>
      <c r="AA44">
        <v>0</v>
      </c>
      <c r="AB44">
        <v>0</v>
      </c>
      <c r="AC44">
        <v>0</v>
      </c>
      <c r="AD44" s="2">
        <v>20864.55</v>
      </c>
      <c r="AE44">
        <v>-20864.55</v>
      </c>
      <c r="AF44">
        <v>0</v>
      </c>
      <c r="AG44">
        <v>-20864.55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109000</v>
      </c>
      <c r="AS44">
        <v>101004.61</v>
      </c>
      <c r="AT44">
        <v>0</v>
      </c>
      <c r="AU44">
        <v>7995.39</v>
      </c>
      <c r="AV44">
        <v>7.34</v>
      </c>
    </row>
    <row r="45" spans="1:48" hidden="1" x14ac:dyDescent="0.2">
      <c r="A45">
        <v>102</v>
      </c>
      <c r="B45" t="s">
        <v>179</v>
      </c>
      <c r="C45" t="s">
        <v>180</v>
      </c>
      <c r="D45" t="s">
        <v>179</v>
      </c>
      <c r="E45" t="s">
        <v>180</v>
      </c>
      <c r="F45">
        <v>10</v>
      </c>
      <c r="G45" t="s">
        <v>181</v>
      </c>
      <c r="H45" t="s">
        <v>59</v>
      </c>
      <c r="I45" t="s">
        <v>60</v>
      </c>
      <c r="J45" s="2" t="s">
        <v>182</v>
      </c>
      <c r="K45" t="s">
        <v>183</v>
      </c>
      <c r="L45" s="2" t="s">
        <v>63</v>
      </c>
      <c r="M45" s="1">
        <v>46023</v>
      </c>
      <c r="N45" t="s">
        <v>64</v>
      </c>
      <c r="O45" s="1">
        <v>46022</v>
      </c>
      <c r="P45" t="s">
        <v>65</v>
      </c>
      <c r="Q45">
        <v>425.49</v>
      </c>
      <c r="R45">
        <v>362.56</v>
      </c>
      <c r="S45">
        <v>0</v>
      </c>
      <c r="T45" s="2">
        <v>0</v>
      </c>
      <c r="U45" s="2">
        <v>0</v>
      </c>
      <c r="V45" s="2">
        <v>0</v>
      </c>
      <c r="W45" s="2">
        <v>141.83000000000001</v>
      </c>
      <c r="X45">
        <v>0</v>
      </c>
      <c r="Y45">
        <v>0</v>
      </c>
      <c r="Z45">
        <v>0</v>
      </c>
      <c r="AA45">
        <v>49.15</v>
      </c>
      <c r="AB45">
        <v>4.5</v>
      </c>
      <c r="AC45">
        <v>3.4</v>
      </c>
      <c r="AD45" s="2">
        <v>57.05</v>
      </c>
      <c r="AE45">
        <v>84.78</v>
      </c>
      <c r="AF45">
        <v>59.78</v>
      </c>
      <c r="AG45">
        <v>84.78</v>
      </c>
      <c r="AH45">
        <v>59.78</v>
      </c>
      <c r="AI45">
        <v>0</v>
      </c>
      <c r="AJ45">
        <v>2.13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141.83000000000001</v>
      </c>
      <c r="AR45">
        <v>0</v>
      </c>
      <c r="AS45">
        <v>0</v>
      </c>
      <c r="AT45">
        <v>0</v>
      </c>
      <c r="AU45">
        <v>0</v>
      </c>
      <c r="AV45">
        <v>0</v>
      </c>
    </row>
    <row r="46" spans="1:48" hidden="1" x14ac:dyDescent="0.2">
      <c r="A46">
        <v>102</v>
      </c>
      <c r="B46" t="s">
        <v>179</v>
      </c>
      <c r="C46" t="s">
        <v>180</v>
      </c>
      <c r="D46" t="s">
        <v>179</v>
      </c>
      <c r="E46" t="s">
        <v>180</v>
      </c>
      <c r="F46">
        <v>10</v>
      </c>
      <c r="G46" t="s">
        <v>181</v>
      </c>
      <c r="H46" t="s">
        <v>104</v>
      </c>
      <c r="I46" t="s">
        <v>69</v>
      </c>
      <c r="J46" s="2" t="s">
        <v>184</v>
      </c>
      <c r="K46" t="s">
        <v>185</v>
      </c>
      <c r="L46" s="2" t="s">
        <v>86</v>
      </c>
      <c r="M46" s="1">
        <v>46002</v>
      </c>
      <c r="N46" s="1">
        <v>46033</v>
      </c>
      <c r="O46" s="1">
        <v>46022</v>
      </c>
      <c r="Q46">
        <v>0</v>
      </c>
      <c r="R46">
        <v>0</v>
      </c>
      <c r="S46">
        <v>0</v>
      </c>
      <c r="T46" s="2">
        <v>0</v>
      </c>
      <c r="U46" s="2">
        <v>0</v>
      </c>
      <c r="V46" s="2">
        <v>0</v>
      </c>
      <c r="W46" s="2">
        <v>322</v>
      </c>
      <c r="X46">
        <v>0</v>
      </c>
      <c r="Y46">
        <v>0</v>
      </c>
      <c r="Z46">
        <v>0</v>
      </c>
      <c r="AA46">
        <v>101.19</v>
      </c>
      <c r="AB46">
        <v>44.31</v>
      </c>
      <c r="AC46">
        <v>7.2</v>
      </c>
      <c r="AD46" s="2">
        <v>152.69999999999999</v>
      </c>
      <c r="AE46">
        <v>169.3</v>
      </c>
      <c r="AF46">
        <v>52.58</v>
      </c>
      <c r="AG46">
        <v>169.3</v>
      </c>
      <c r="AH46">
        <v>52.58</v>
      </c>
      <c r="AI46">
        <v>0</v>
      </c>
      <c r="AJ46">
        <v>5.2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322</v>
      </c>
      <c r="AR46">
        <v>322</v>
      </c>
      <c r="AS46">
        <v>152.69999999999999</v>
      </c>
      <c r="AT46">
        <v>0</v>
      </c>
      <c r="AU46">
        <v>169.3</v>
      </c>
      <c r="AV46">
        <v>52.58</v>
      </c>
    </row>
    <row r="47" spans="1:48" hidden="1" x14ac:dyDescent="0.2">
      <c r="A47">
        <v>102</v>
      </c>
      <c r="B47" t="s">
        <v>186</v>
      </c>
      <c r="C47" t="s">
        <v>187</v>
      </c>
      <c r="D47" t="s">
        <v>186</v>
      </c>
      <c r="E47" t="s">
        <v>187</v>
      </c>
      <c r="F47">
        <v>2</v>
      </c>
      <c r="G47" t="s">
        <v>188</v>
      </c>
      <c r="H47" t="s">
        <v>189</v>
      </c>
      <c r="I47" t="s">
        <v>60</v>
      </c>
      <c r="J47" s="2" t="s">
        <v>190</v>
      </c>
      <c r="K47" t="s">
        <v>191</v>
      </c>
      <c r="L47" s="2" t="s">
        <v>63</v>
      </c>
      <c r="M47" s="1">
        <v>44197</v>
      </c>
      <c r="N47" t="s">
        <v>64</v>
      </c>
      <c r="O47" s="1">
        <v>46022</v>
      </c>
      <c r="P47" t="s">
        <v>65</v>
      </c>
      <c r="Q47">
        <v>353591.03999999998</v>
      </c>
      <c r="R47">
        <v>0</v>
      </c>
      <c r="S47">
        <v>0</v>
      </c>
      <c r="T47" s="2">
        <v>0</v>
      </c>
      <c r="U47" s="2">
        <v>0</v>
      </c>
      <c r="V47" s="2">
        <v>0</v>
      </c>
      <c r="W47" s="2">
        <v>16072.32</v>
      </c>
      <c r="X47">
        <v>0</v>
      </c>
      <c r="Y47">
        <v>1854.55</v>
      </c>
      <c r="Z47">
        <v>130.86000000000001</v>
      </c>
      <c r="AA47">
        <v>2233.9499999999998</v>
      </c>
      <c r="AB47">
        <v>643.27</v>
      </c>
      <c r="AC47">
        <v>105.44</v>
      </c>
      <c r="AD47" s="2">
        <v>4968.07</v>
      </c>
      <c r="AE47">
        <v>11104.25</v>
      </c>
      <c r="AF47">
        <v>69.09</v>
      </c>
      <c r="AG47">
        <v>11104.25</v>
      </c>
      <c r="AH47">
        <v>69.09</v>
      </c>
      <c r="AI47">
        <v>0</v>
      </c>
      <c r="AJ47">
        <v>107.39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16072.32</v>
      </c>
      <c r="AR47">
        <v>298472.09000000003</v>
      </c>
      <c r="AS47">
        <v>290023.26</v>
      </c>
      <c r="AT47">
        <v>0</v>
      </c>
      <c r="AU47">
        <v>8448.83</v>
      </c>
      <c r="AV47">
        <v>2.83</v>
      </c>
    </row>
    <row r="48" spans="1:48" hidden="1" x14ac:dyDescent="0.2">
      <c r="A48">
        <v>102</v>
      </c>
      <c r="B48" t="s">
        <v>192</v>
      </c>
      <c r="C48" t="s">
        <v>193</v>
      </c>
      <c r="D48" t="s">
        <v>194</v>
      </c>
      <c r="E48" t="s">
        <v>195</v>
      </c>
      <c r="F48">
        <v>11</v>
      </c>
      <c r="G48" t="s">
        <v>196</v>
      </c>
      <c r="H48" t="s">
        <v>68</v>
      </c>
      <c r="I48" t="s">
        <v>69</v>
      </c>
      <c r="J48" s="2" t="s">
        <v>197</v>
      </c>
      <c r="K48" t="s">
        <v>198</v>
      </c>
      <c r="L48" s="2" t="s">
        <v>86</v>
      </c>
      <c r="M48" s="1">
        <v>46020</v>
      </c>
      <c r="N48" s="1">
        <v>46034</v>
      </c>
      <c r="O48" s="1">
        <v>46022</v>
      </c>
      <c r="Q48">
        <v>0</v>
      </c>
      <c r="R48">
        <v>0</v>
      </c>
      <c r="S48">
        <v>0</v>
      </c>
      <c r="T48" s="2">
        <v>0</v>
      </c>
      <c r="U48" s="2">
        <v>0</v>
      </c>
      <c r="V48" s="2">
        <v>0</v>
      </c>
      <c r="W48" s="2">
        <v>57</v>
      </c>
      <c r="X48">
        <v>0</v>
      </c>
      <c r="Y48">
        <v>0</v>
      </c>
      <c r="Z48">
        <v>0</v>
      </c>
      <c r="AA48">
        <v>7.85</v>
      </c>
      <c r="AB48">
        <v>27.24</v>
      </c>
      <c r="AC48">
        <v>1.71</v>
      </c>
      <c r="AD48" s="2">
        <v>36.799999999999997</v>
      </c>
      <c r="AE48">
        <v>20.2</v>
      </c>
      <c r="AF48">
        <v>35.44</v>
      </c>
      <c r="AG48">
        <v>20.2</v>
      </c>
      <c r="AH48">
        <v>35.44</v>
      </c>
      <c r="AI48">
        <v>0</v>
      </c>
      <c r="AJ48">
        <v>0.94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57</v>
      </c>
      <c r="AR48">
        <v>57</v>
      </c>
      <c r="AS48">
        <v>36.799999999999997</v>
      </c>
      <c r="AT48">
        <v>0</v>
      </c>
      <c r="AU48">
        <v>20.2</v>
      </c>
      <c r="AV48">
        <v>35.44</v>
      </c>
    </row>
    <row r="49" spans="1:48" hidden="1" x14ac:dyDescent="0.2">
      <c r="A49">
        <v>102</v>
      </c>
      <c r="B49" t="s">
        <v>192</v>
      </c>
      <c r="C49" t="s">
        <v>193</v>
      </c>
      <c r="D49" t="s">
        <v>194</v>
      </c>
      <c r="E49" t="s">
        <v>195</v>
      </c>
      <c r="F49">
        <v>12</v>
      </c>
      <c r="G49" t="s">
        <v>199</v>
      </c>
      <c r="H49" t="s">
        <v>68</v>
      </c>
      <c r="I49" t="s">
        <v>69</v>
      </c>
      <c r="J49" s="2" t="s">
        <v>200</v>
      </c>
      <c r="K49" t="s">
        <v>201</v>
      </c>
      <c r="L49" s="2" t="s">
        <v>86</v>
      </c>
      <c r="M49" s="1">
        <v>46003</v>
      </c>
      <c r="N49" s="1">
        <v>46009</v>
      </c>
      <c r="O49" s="1">
        <v>46022</v>
      </c>
      <c r="Q49">
        <v>0</v>
      </c>
      <c r="R49">
        <v>0</v>
      </c>
      <c r="S49">
        <v>0</v>
      </c>
      <c r="T49" s="2">
        <v>0</v>
      </c>
      <c r="U49" s="2">
        <v>0</v>
      </c>
      <c r="V49" s="2">
        <v>0</v>
      </c>
      <c r="W49" s="2">
        <v>81</v>
      </c>
      <c r="X49">
        <v>0</v>
      </c>
      <c r="Y49">
        <v>0</v>
      </c>
      <c r="Z49">
        <v>0</v>
      </c>
      <c r="AA49">
        <v>3.3</v>
      </c>
      <c r="AB49">
        <v>34.53</v>
      </c>
      <c r="AC49">
        <v>0</v>
      </c>
      <c r="AD49" s="2">
        <v>37.83</v>
      </c>
      <c r="AE49">
        <v>43.17</v>
      </c>
      <c r="AF49">
        <v>53.3</v>
      </c>
      <c r="AG49">
        <v>43.17</v>
      </c>
      <c r="AH49">
        <v>53.3</v>
      </c>
      <c r="AI49">
        <v>0</v>
      </c>
      <c r="AJ49">
        <v>0.95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81</v>
      </c>
      <c r="AR49">
        <v>81</v>
      </c>
      <c r="AS49">
        <v>37.83</v>
      </c>
      <c r="AT49">
        <v>0</v>
      </c>
      <c r="AU49">
        <v>43.17</v>
      </c>
      <c r="AV49">
        <v>53.3</v>
      </c>
    </row>
    <row r="50" spans="1:48" hidden="1" x14ac:dyDescent="0.2">
      <c r="A50">
        <v>102</v>
      </c>
      <c r="B50" t="s">
        <v>192</v>
      </c>
      <c r="C50" t="s">
        <v>193</v>
      </c>
      <c r="D50" t="s">
        <v>194</v>
      </c>
      <c r="E50" t="s">
        <v>195</v>
      </c>
      <c r="F50">
        <v>12</v>
      </c>
      <c r="G50" t="s">
        <v>199</v>
      </c>
      <c r="H50" t="s">
        <v>68</v>
      </c>
      <c r="I50" t="s">
        <v>69</v>
      </c>
      <c r="J50" s="2" t="s">
        <v>202</v>
      </c>
      <c r="K50" t="s">
        <v>203</v>
      </c>
      <c r="L50" s="2" t="s">
        <v>86</v>
      </c>
      <c r="M50" s="1">
        <v>46020</v>
      </c>
      <c r="N50" s="1">
        <v>46033</v>
      </c>
      <c r="O50" s="1">
        <v>46022</v>
      </c>
      <c r="Q50">
        <v>0</v>
      </c>
      <c r="R50">
        <v>0</v>
      </c>
      <c r="S50">
        <v>0</v>
      </c>
      <c r="T50" s="2">
        <v>0</v>
      </c>
      <c r="U50" s="2">
        <v>0</v>
      </c>
      <c r="V50" s="2">
        <v>0</v>
      </c>
      <c r="W50" s="2">
        <v>74</v>
      </c>
      <c r="X50">
        <v>0</v>
      </c>
      <c r="Y50">
        <v>0</v>
      </c>
      <c r="Z50">
        <v>0</v>
      </c>
      <c r="AA50">
        <v>22.3</v>
      </c>
      <c r="AB50">
        <v>25.11</v>
      </c>
      <c r="AC50">
        <v>2.38</v>
      </c>
      <c r="AD50" s="2">
        <v>49.79</v>
      </c>
      <c r="AE50">
        <v>24.21</v>
      </c>
      <c r="AF50">
        <v>32.72</v>
      </c>
      <c r="AG50">
        <v>24.21</v>
      </c>
      <c r="AH50">
        <v>32.72</v>
      </c>
      <c r="AI50">
        <v>0</v>
      </c>
      <c r="AJ50">
        <v>1.48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74</v>
      </c>
      <c r="AR50">
        <v>74</v>
      </c>
      <c r="AS50">
        <v>49.79</v>
      </c>
      <c r="AT50">
        <v>0</v>
      </c>
      <c r="AU50">
        <v>24.21</v>
      </c>
      <c r="AV50">
        <v>32.72</v>
      </c>
    </row>
    <row r="51" spans="1:48" hidden="1" x14ac:dyDescent="0.2">
      <c r="A51">
        <v>102</v>
      </c>
      <c r="B51" t="s">
        <v>192</v>
      </c>
      <c r="C51" t="s">
        <v>193</v>
      </c>
      <c r="D51" t="s">
        <v>194</v>
      </c>
      <c r="E51" t="s">
        <v>195</v>
      </c>
      <c r="F51">
        <v>13</v>
      </c>
      <c r="G51" t="s">
        <v>204</v>
      </c>
      <c r="H51" t="s">
        <v>68</v>
      </c>
      <c r="I51" t="s">
        <v>69</v>
      </c>
      <c r="J51" s="2" t="s">
        <v>205</v>
      </c>
      <c r="K51" t="s">
        <v>206</v>
      </c>
      <c r="L51" s="2" t="s">
        <v>86</v>
      </c>
      <c r="M51" s="1">
        <v>45897</v>
      </c>
      <c r="N51" s="1">
        <v>46034</v>
      </c>
      <c r="O51" s="1">
        <v>46022</v>
      </c>
      <c r="Q51">
        <v>0</v>
      </c>
      <c r="R51">
        <v>0</v>
      </c>
      <c r="S51">
        <v>0</v>
      </c>
      <c r="T51" s="2">
        <v>0</v>
      </c>
      <c r="U51" s="2">
        <v>0</v>
      </c>
      <c r="V51" s="2">
        <v>0</v>
      </c>
      <c r="W51" s="2">
        <v>51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 s="2">
        <v>0</v>
      </c>
      <c r="AE51">
        <v>51</v>
      </c>
      <c r="AF51">
        <v>100</v>
      </c>
      <c r="AG51">
        <v>51</v>
      </c>
      <c r="AH51">
        <v>100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51</v>
      </c>
      <c r="AR51">
        <v>51</v>
      </c>
      <c r="AS51">
        <v>16.75</v>
      </c>
      <c r="AT51">
        <v>0</v>
      </c>
      <c r="AU51">
        <v>34.25</v>
      </c>
      <c r="AV51">
        <v>67.16</v>
      </c>
    </row>
    <row r="52" spans="1:48" hidden="1" x14ac:dyDescent="0.2">
      <c r="A52">
        <v>102</v>
      </c>
      <c r="B52" t="s">
        <v>192</v>
      </c>
      <c r="C52" t="s">
        <v>193</v>
      </c>
      <c r="D52" t="s">
        <v>194</v>
      </c>
      <c r="E52" t="s">
        <v>195</v>
      </c>
      <c r="F52">
        <v>14</v>
      </c>
      <c r="G52" t="s">
        <v>207</v>
      </c>
      <c r="H52" t="s">
        <v>68</v>
      </c>
      <c r="I52" t="s">
        <v>69</v>
      </c>
      <c r="J52" s="2" t="s">
        <v>208</v>
      </c>
      <c r="K52" t="s">
        <v>209</v>
      </c>
      <c r="L52" s="2" t="s">
        <v>86</v>
      </c>
      <c r="M52" s="1">
        <v>45843</v>
      </c>
      <c r="N52" s="1">
        <v>45872</v>
      </c>
      <c r="O52" s="1">
        <v>46022</v>
      </c>
      <c r="Q52">
        <v>0</v>
      </c>
      <c r="R52">
        <v>0</v>
      </c>
      <c r="S52">
        <v>0</v>
      </c>
      <c r="T52" s="2">
        <v>0</v>
      </c>
      <c r="U52" s="2">
        <v>0</v>
      </c>
      <c r="V52" s="2">
        <v>0</v>
      </c>
      <c r="W52" s="2">
        <v>-423.6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 s="2">
        <v>0</v>
      </c>
      <c r="AE52">
        <v>-423.6</v>
      </c>
      <c r="AF52">
        <v>100</v>
      </c>
      <c r="AG52">
        <v>-423.6</v>
      </c>
      <c r="AH52">
        <v>100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-423.6</v>
      </c>
      <c r="AR52">
        <v>0</v>
      </c>
      <c r="AS52">
        <v>362.36</v>
      </c>
      <c r="AT52">
        <v>0</v>
      </c>
      <c r="AU52">
        <v>-362.36</v>
      </c>
      <c r="AV52">
        <v>0</v>
      </c>
    </row>
    <row r="53" spans="1:48" hidden="1" x14ac:dyDescent="0.2">
      <c r="A53">
        <v>102</v>
      </c>
      <c r="B53" t="s">
        <v>192</v>
      </c>
      <c r="C53" t="s">
        <v>193</v>
      </c>
      <c r="D53" t="s">
        <v>194</v>
      </c>
      <c r="E53" t="s">
        <v>195</v>
      </c>
      <c r="F53">
        <v>14</v>
      </c>
      <c r="G53" t="s">
        <v>207</v>
      </c>
      <c r="H53" t="s">
        <v>68</v>
      </c>
      <c r="I53" t="s">
        <v>69</v>
      </c>
      <c r="J53" s="2" t="s">
        <v>210</v>
      </c>
      <c r="K53" t="s">
        <v>211</v>
      </c>
      <c r="L53" s="2" t="s">
        <v>86</v>
      </c>
      <c r="M53" s="1">
        <v>45849</v>
      </c>
      <c r="N53" s="1">
        <v>45876</v>
      </c>
      <c r="O53" s="1">
        <v>46022</v>
      </c>
      <c r="Q53">
        <v>0</v>
      </c>
      <c r="R53">
        <v>0</v>
      </c>
      <c r="S53">
        <v>0</v>
      </c>
      <c r="T53" s="2">
        <v>0</v>
      </c>
      <c r="U53" s="2">
        <v>0</v>
      </c>
      <c r="V53" s="2">
        <v>0</v>
      </c>
      <c r="W53" s="2">
        <v>-581.25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 s="2">
        <v>0</v>
      </c>
      <c r="AE53">
        <v>-581.25</v>
      </c>
      <c r="AF53">
        <v>100</v>
      </c>
      <c r="AG53">
        <v>-581.25</v>
      </c>
      <c r="AH53">
        <v>100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-581.25</v>
      </c>
      <c r="AR53">
        <v>375.5</v>
      </c>
      <c r="AS53">
        <v>618.47</v>
      </c>
      <c r="AT53">
        <v>0</v>
      </c>
      <c r="AU53">
        <v>-242.97</v>
      </c>
      <c r="AV53">
        <v>-64.709999999999994</v>
      </c>
    </row>
    <row r="54" spans="1:48" hidden="1" x14ac:dyDescent="0.2">
      <c r="A54">
        <v>102</v>
      </c>
      <c r="B54" t="s">
        <v>192</v>
      </c>
      <c r="C54" t="s">
        <v>193</v>
      </c>
      <c r="D54" t="s">
        <v>194</v>
      </c>
      <c r="E54" t="s">
        <v>195</v>
      </c>
      <c r="F54">
        <v>14</v>
      </c>
      <c r="G54" t="s">
        <v>207</v>
      </c>
      <c r="H54" t="s">
        <v>68</v>
      </c>
      <c r="I54" t="s">
        <v>69</v>
      </c>
      <c r="J54" s="2" t="s">
        <v>212</v>
      </c>
      <c r="K54" t="s">
        <v>213</v>
      </c>
      <c r="L54" s="2" t="s">
        <v>86</v>
      </c>
      <c r="M54" s="1">
        <v>45997</v>
      </c>
      <c r="N54" s="1">
        <v>46030</v>
      </c>
      <c r="O54" s="1">
        <v>46022</v>
      </c>
      <c r="Q54">
        <v>0</v>
      </c>
      <c r="R54">
        <v>0</v>
      </c>
      <c r="S54">
        <v>0</v>
      </c>
      <c r="T54" s="2">
        <v>0</v>
      </c>
      <c r="U54" s="2">
        <v>0</v>
      </c>
      <c r="V54" s="2">
        <v>0</v>
      </c>
      <c r="W54" s="2">
        <v>2909</v>
      </c>
      <c r="X54">
        <v>0</v>
      </c>
      <c r="Y54">
        <v>1312.47</v>
      </c>
      <c r="Z54">
        <v>0</v>
      </c>
      <c r="AA54">
        <v>444.4</v>
      </c>
      <c r="AB54">
        <v>125.12</v>
      </c>
      <c r="AC54">
        <v>17.02</v>
      </c>
      <c r="AD54" s="2">
        <v>1899.01</v>
      </c>
      <c r="AE54">
        <v>1009.99</v>
      </c>
      <c r="AF54">
        <v>34.72</v>
      </c>
      <c r="AG54">
        <v>1009.99</v>
      </c>
      <c r="AH54">
        <v>34.72</v>
      </c>
      <c r="AI54">
        <v>0</v>
      </c>
      <c r="AJ54">
        <v>21.09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2909</v>
      </c>
      <c r="AR54">
        <v>2909</v>
      </c>
      <c r="AS54">
        <v>1899.01</v>
      </c>
      <c r="AT54">
        <v>0</v>
      </c>
      <c r="AU54">
        <v>1009.99</v>
      </c>
      <c r="AV54">
        <v>34.72</v>
      </c>
    </row>
    <row r="55" spans="1:48" hidden="1" x14ac:dyDescent="0.2">
      <c r="A55">
        <v>102</v>
      </c>
      <c r="B55" t="s">
        <v>192</v>
      </c>
      <c r="C55" t="s">
        <v>193</v>
      </c>
      <c r="D55" t="s">
        <v>194</v>
      </c>
      <c r="E55" t="s">
        <v>195</v>
      </c>
      <c r="F55">
        <v>14</v>
      </c>
      <c r="G55" t="s">
        <v>207</v>
      </c>
      <c r="H55" t="s">
        <v>68</v>
      </c>
      <c r="I55" t="s">
        <v>69</v>
      </c>
      <c r="J55" s="2" t="s">
        <v>214</v>
      </c>
      <c r="K55" t="s">
        <v>215</v>
      </c>
      <c r="L55" s="2" t="s">
        <v>86</v>
      </c>
      <c r="M55" s="1">
        <v>46001</v>
      </c>
      <c r="N55" s="1">
        <v>46009</v>
      </c>
      <c r="O55" s="1">
        <v>46022</v>
      </c>
      <c r="Q55">
        <v>0</v>
      </c>
      <c r="R55">
        <v>0</v>
      </c>
      <c r="S55">
        <v>0</v>
      </c>
      <c r="T55" s="2">
        <v>0</v>
      </c>
      <c r="U55" s="2">
        <v>0</v>
      </c>
      <c r="V55" s="2">
        <v>0</v>
      </c>
      <c r="W55" s="2">
        <v>17</v>
      </c>
      <c r="X55">
        <v>0</v>
      </c>
      <c r="Y55">
        <v>0</v>
      </c>
      <c r="Z55">
        <v>0</v>
      </c>
      <c r="AA55">
        <v>3.3</v>
      </c>
      <c r="AB55">
        <v>0</v>
      </c>
      <c r="AC55">
        <v>0.12</v>
      </c>
      <c r="AD55" s="2">
        <v>3.42</v>
      </c>
      <c r="AE55">
        <v>13.58</v>
      </c>
      <c r="AF55">
        <v>79.88</v>
      </c>
      <c r="AG55">
        <v>13.58</v>
      </c>
      <c r="AH55">
        <v>79.88</v>
      </c>
      <c r="AI55">
        <v>0</v>
      </c>
      <c r="AJ55">
        <v>0.13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17</v>
      </c>
      <c r="AR55">
        <v>17</v>
      </c>
      <c r="AS55">
        <v>3.42</v>
      </c>
      <c r="AT55">
        <v>0</v>
      </c>
      <c r="AU55">
        <v>13.58</v>
      </c>
      <c r="AV55">
        <v>79.88</v>
      </c>
    </row>
    <row r="56" spans="1:48" hidden="1" x14ac:dyDescent="0.2">
      <c r="A56">
        <v>102</v>
      </c>
      <c r="B56" t="s">
        <v>192</v>
      </c>
      <c r="C56" t="s">
        <v>193</v>
      </c>
      <c r="D56" t="s">
        <v>194</v>
      </c>
      <c r="E56" t="s">
        <v>195</v>
      </c>
      <c r="F56">
        <v>14</v>
      </c>
      <c r="G56" t="s">
        <v>207</v>
      </c>
      <c r="H56" t="s">
        <v>68</v>
      </c>
      <c r="I56" t="s">
        <v>69</v>
      </c>
      <c r="J56" s="2" t="s">
        <v>216</v>
      </c>
      <c r="K56" t="s">
        <v>217</v>
      </c>
      <c r="L56" s="2" t="s">
        <v>86</v>
      </c>
      <c r="M56" s="1">
        <v>46001</v>
      </c>
      <c r="N56" s="1">
        <v>46030</v>
      </c>
      <c r="O56" s="1">
        <v>46022</v>
      </c>
      <c r="Q56">
        <v>0</v>
      </c>
      <c r="R56">
        <v>0</v>
      </c>
      <c r="S56">
        <v>0</v>
      </c>
      <c r="T56" s="2">
        <v>0</v>
      </c>
      <c r="U56" s="2">
        <v>0</v>
      </c>
      <c r="V56" s="2">
        <v>0</v>
      </c>
      <c r="W56" s="2">
        <v>1349.4</v>
      </c>
      <c r="X56">
        <v>2.4</v>
      </c>
      <c r="Y56">
        <v>450.08</v>
      </c>
      <c r="Z56">
        <v>0</v>
      </c>
      <c r="AA56">
        <v>256.37</v>
      </c>
      <c r="AB56">
        <v>316.83</v>
      </c>
      <c r="AC56">
        <v>23.58</v>
      </c>
      <c r="AD56" s="2">
        <v>1046.8599999999999</v>
      </c>
      <c r="AE56">
        <v>302.54000000000002</v>
      </c>
      <c r="AF56">
        <v>22.42</v>
      </c>
      <c r="AG56">
        <v>300.14</v>
      </c>
      <c r="AH56">
        <v>22.24</v>
      </c>
      <c r="AI56">
        <v>0</v>
      </c>
      <c r="AJ56">
        <v>20.46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1349.4</v>
      </c>
      <c r="AR56">
        <v>1349.4</v>
      </c>
      <c r="AS56">
        <v>1046.8599999999999</v>
      </c>
      <c r="AT56">
        <v>0</v>
      </c>
      <c r="AU56">
        <v>302.54000000000002</v>
      </c>
      <c r="AV56">
        <v>22.42</v>
      </c>
    </row>
    <row r="57" spans="1:48" hidden="1" x14ac:dyDescent="0.2">
      <c r="A57">
        <v>102</v>
      </c>
      <c r="B57" t="s">
        <v>192</v>
      </c>
      <c r="C57" t="s">
        <v>193</v>
      </c>
      <c r="D57" t="s">
        <v>194</v>
      </c>
      <c r="E57" t="s">
        <v>195</v>
      </c>
      <c r="F57">
        <v>14</v>
      </c>
      <c r="G57" t="s">
        <v>207</v>
      </c>
      <c r="H57" t="s">
        <v>68</v>
      </c>
      <c r="I57" t="s">
        <v>69</v>
      </c>
      <c r="J57" s="2" t="s">
        <v>218</v>
      </c>
      <c r="K57" t="s">
        <v>219</v>
      </c>
      <c r="L57" s="2" t="s">
        <v>86</v>
      </c>
      <c r="M57" s="1">
        <v>46009</v>
      </c>
      <c r="N57" s="1">
        <v>46029</v>
      </c>
      <c r="O57" s="1">
        <v>46022</v>
      </c>
      <c r="Q57">
        <v>0</v>
      </c>
      <c r="R57">
        <v>0</v>
      </c>
      <c r="S57">
        <v>0</v>
      </c>
      <c r="T57" s="2">
        <v>0</v>
      </c>
      <c r="U57" s="2">
        <v>0</v>
      </c>
      <c r="V57" s="2">
        <v>0</v>
      </c>
      <c r="W57" s="2">
        <v>2096.64</v>
      </c>
      <c r="X57">
        <v>0</v>
      </c>
      <c r="Y57">
        <v>1059.43</v>
      </c>
      <c r="Z57">
        <v>0</v>
      </c>
      <c r="AA57">
        <v>175.76</v>
      </c>
      <c r="AB57">
        <v>78.59</v>
      </c>
      <c r="AC57">
        <v>16.100000000000001</v>
      </c>
      <c r="AD57" s="2">
        <v>1329.88</v>
      </c>
      <c r="AE57">
        <v>766.76</v>
      </c>
      <c r="AF57">
        <v>36.57</v>
      </c>
      <c r="AG57">
        <v>766.76</v>
      </c>
      <c r="AH57">
        <v>36.57</v>
      </c>
      <c r="AI57">
        <v>0</v>
      </c>
      <c r="AJ57">
        <v>9.67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2096.64</v>
      </c>
      <c r="AR57">
        <v>2096.64</v>
      </c>
      <c r="AS57">
        <v>1329.88</v>
      </c>
      <c r="AT57">
        <v>0</v>
      </c>
      <c r="AU57">
        <v>766.76</v>
      </c>
      <c r="AV57">
        <v>36.57</v>
      </c>
    </row>
    <row r="58" spans="1:48" hidden="1" x14ac:dyDescent="0.2">
      <c r="A58">
        <v>102</v>
      </c>
      <c r="B58" t="s">
        <v>192</v>
      </c>
      <c r="C58" t="s">
        <v>193</v>
      </c>
      <c r="D58" t="s">
        <v>194</v>
      </c>
      <c r="E58" t="s">
        <v>195</v>
      </c>
      <c r="F58">
        <v>14</v>
      </c>
      <c r="G58" t="s">
        <v>207</v>
      </c>
      <c r="H58" t="s">
        <v>68</v>
      </c>
      <c r="I58" t="s">
        <v>69</v>
      </c>
      <c r="J58" s="2" t="s">
        <v>220</v>
      </c>
      <c r="K58" t="s">
        <v>221</v>
      </c>
      <c r="L58" s="2" t="s">
        <v>86</v>
      </c>
      <c r="M58" s="1">
        <v>46017</v>
      </c>
      <c r="N58" s="1">
        <v>46033</v>
      </c>
      <c r="O58" s="1">
        <v>46022</v>
      </c>
      <c r="Q58">
        <v>0</v>
      </c>
      <c r="R58">
        <v>0</v>
      </c>
      <c r="S58">
        <v>0</v>
      </c>
      <c r="T58" s="2">
        <v>0</v>
      </c>
      <c r="U58" s="2">
        <v>0</v>
      </c>
      <c r="V58" s="2">
        <v>0</v>
      </c>
      <c r="W58" s="2">
        <v>621.72</v>
      </c>
      <c r="X58">
        <v>0</v>
      </c>
      <c r="Y58">
        <v>349.76</v>
      </c>
      <c r="Z58">
        <v>0</v>
      </c>
      <c r="AA58">
        <v>44.71</v>
      </c>
      <c r="AB58">
        <v>45.09</v>
      </c>
      <c r="AC58">
        <v>4.55</v>
      </c>
      <c r="AD58" s="2">
        <v>444.11</v>
      </c>
      <c r="AE58">
        <v>177.61</v>
      </c>
      <c r="AF58">
        <v>28.57</v>
      </c>
      <c r="AG58">
        <v>177.61</v>
      </c>
      <c r="AH58">
        <v>28.57</v>
      </c>
      <c r="AI58">
        <v>0</v>
      </c>
      <c r="AJ58">
        <v>3.89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621.72</v>
      </c>
      <c r="AR58">
        <v>621.72</v>
      </c>
      <c r="AS58">
        <v>444.11</v>
      </c>
      <c r="AT58">
        <v>0</v>
      </c>
      <c r="AU58">
        <v>177.61</v>
      </c>
      <c r="AV58">
        <v>28.57</v>
      </c>
    </row>
    <row r="59" spans="1:48" hidden="1" x14ac:dyDescent="0.2">
      <c r="A59">
        <v>102</v>
      </c>
      <c r="B59" t="s">
        <v>192</v>
      </c>
      <c r="C59" t="s">
        <v>193</v>
      </c>
      <c r="D59" t="s">
        <v>194</v>
      </c>
      <c r="E59" t="s">
        <v>195</v>
      </c>
      <c r="F59">
        <v>18</v>
      </c>
      <c r="G59" t="s">
        <v>222</v>
      </c>
      <c r="H59" t="s">
        <v>68</v>
      </c>
      <c r="I59" t="s">
        <v>69</v>
      </c>
      <c r="J59" s="2" t="s">
        <v>223</v>
      </c>
      <c r="K59" t="s">
        <v>224</v>
      </c>
      <c r="L59" s="2" t="s">
        <v>86</v>
      </c>
      <c r="M59" s="1">
        <v>45990</v>
      </c>
      <c r="N59" s="1">
        <v>46007</v>
      </c>
      <c r="O59" s="1">
        <v>46022</v>
      </c>
      <c r="Q59">
        <v>0</v>
      </c>
      <c r="R59">
        <v>0</v>
      </c>
      <c r="S59">
        <v>0</v>
      </c>
      <c r="T59" s="2">
        <v>0</v>
      </c>
      <c r="U59" s="2">
        <v>0</v>
      </c>
      <c r="V59" s="2">
        <v>0</v>
      </c>
      <c r="W59" s="2">
        <v>1456</v>
      </c>
      <c r="X59">
        <v>0</v>
      </c>
      <c r="Y59">
        <v>747.39</v>
      </c>
      <c r="Z59">
        <v>0</v>
      </c>
      <c r="AA59">
        <v>229.62</v>
      </c>
      <c r="AB59">
        <v>24.75</v>
      </c>
      <c r="AC59">
        <v>15.21</v>
      </c>
      <c r="AD59" s="2">
        <v>1016.97</v>
      </c>
      <c r="AE59">
        <v>439.03</v>
      </c>
      <c r="AF59">
        <v>30.15</v>
      </c>
      <c r="AG59">
        <v>439.03</v>
      </c>
      <c r="AH59">
        <v>30.15</v>
      </c>
      <c r="AI59">
        <v>0</v>
      </c>
      <c r="AJ59">
        <v>9.58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1456</v>
      </c>
      <c r="AR59">
        <v>1456</v>
      </c>
      <c r="AS59">
        <v>1016.97</v>
      </c>
      <c r="AT59">
        <v>0</v>
      </c>
      <c r="AU59">
        <v>439.03</v>
      </c>
      <c r="AV59">
        <v>30.15</v>
      </c>
    </row>
    <row r="60" spans="1:48" hidden="1" x14ac:dyDescent="0.2">
      <c r="A60">
        <v>102</v>
      </c>
      <c r="B60" t="s">
        <v>192</v>
      </c>
      <c r="C60" t="s">
        <v>193</v>
      </c>
      <c r="D60" t="s">
        <v>194</v>
      </c>
      <c r="E60" t="s">
        <v>195</v>
      </c>
      <c r="F60">
        <v>18</v>
      </c>
      <c r="G60" t="s">
        <v>222</v>
      </c>
      <c r="H60" t="s">
        <v>68</v>
      </c>
      <c r="I60" t="s">
        <v>69</v>
      </c>
      <c r="J60" s="2" t="s">
        <v>225</v>
      </c>
      <c r="K60" t="s">
        <v>226</v>
      </c>
      <c r="L60" s="2" t="s">
        <v>86</v>
      </c>
      <c r="M60" s="1">
        <v>45993</v>
      </c>
      <c r="N60" s="1">
        <v>46030</v>
      </c>
      <c r="O60" s="1">
        <v>46022</v>
      </c>
      <c r="Q60">
        <v>0</v>
      </c>
      <c r="R60">
        <v>0</v>
      </c>
      <c r="S60">
        <v>0</v>
      </c>
      <c r="T60" s="2">
        <v>0</v>
      </c>
      <c r="U60" s="2">
        <v>0</v>
      </c>
      <c r="V60" s="2">
        <v>0</v>
      </c>
      <c r="W60" s="2">
        <v>91</v>
      </c>
      <c r="X60">
        <v>0</v>
      </c>
      <c r="Y60">
        <v>0</v>
      </c>
      <c r="Z60">
        <v>0</v>
      </c>
      <c r="AA60">
        <v>30.14</v>
      </c>
      <c r="AB60">
        <v>26.75</v>
      </c>
      <c r="AC60">
        <v>3.08</v>
      </c>
      <c r="AD60" s="2">
        <v>59.97</v>
      </c>
      <c r="AE60">
        <v>31.03</v>
      </c>
      <c r="AF60">
        <v>34.1</v>
      </c>
      <c r="AG60">
        <v>31.03</v>
      </c>
      <c r="AH60">
        <v>34.1</v>
      </c>
      <c r="AI60">
        <v>0</v>
      </c>
      <c r="AJ60">
        <v>1.95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91</v>
      </c>
      <c r="AR60">
        <v>91</v>
      </c>
      <c r="AS60">
        <v>59.97</v>
      </c>
      <c r="AT60">
        <v>0</v>
      </c>
      <c r="AU60">
        <v>31.03</v>
      </c>
      <c r="AV60">
        <v>34.1</v>
      </c>
    </row>
    <row r="61" spans="1:48" hidden="1" x14ac:dyDescent="0.2">
      <c r="A61">
        <v>102</v>
      </c>
      <c r="B61" t="s">
        <v>192</v>
      </c>
      <c r="C61" t="s">
        <v>193</v>
      </c>
      <c r="D61" t="s">
        <v>194</v>
      </c>
      <c r="E61" t="s">
        <v>195</v>
      </c>
      <c r="F61">
        <v>18</v>
      </c>
      <c r="G61" t="s">
        <v>222</v>
      </c>
      <c r="H61" t="s">
        <v>68</v>
      </c>
      <c r="I61" t="s">
        <v>69</v>
      </c>
      <c r="J61" s="2" t="s">
        <v>227</v>
      </c>
      <c r="K61" t="s">
        <v>228</v>
      </c>
      <c r="L61" s="2" t="s">
        <v>86</v>
      </c>
      <c r="M61" s="1">
        <v>46001</v>
      </c>
      <c r="N61" s="1">
        <v>46029</v>
      </c>
      <c r="O61" s="1">
        <v>46022</v>
      </c>
      <c r="Q61">
        <v>0</v>
      </c>
      <c r="R61">
        <v>0</v>
      </c>
      <c r="S61">
        <v>0</v>
      </c>
      <c r="T61" s="2">
        <v>0</v>
      </c>
      <c r="U61" s="2">
        <v>0</v>
      </c>
      <c r="V61" s="2">
        <v>0</v>
      </c>
      <c r="W61" s="2">
        <v>57</v>
      </c>
      <c r="X61">
        <v>0.72</v>
      </c>
      <c r="Y61">
        <v>0</v>
      </c>
      <c r="Z61">
        <v>0</v>
      </c>
      <c r="AA61">
        <v>7.85</v>
      </c>
      <c r="AB61">
        <v>23.08</v>
      </c>
      <c r="AC61">
        <v>0</v>
      </c>
      <c r="AD61" s="2">
        <v>30.93</v>
      </c>
      <c r="AE61">
        <v>26.07</v>
      </c>
      <c r="AF61">
        <v>45.74</v>
      </c>
      <c r="AG61">
        <v>25.35</v>
      </c>
      <c r="AH61">
        <v>44.47</v>
      </c>
      <c r="AI61">
        <v>0</v>
      </c>
      <c r="AJ61">
        <v>0.65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57</v>
      </c>
      <c r="AR61">
        <v>57</v>
      </c>
      <c r="AS61">
        <v>30.93</v>
      </c>
      <c r="AT61">
        <v>0</v>
      </c>
      <c r="AU61">
        <v>26.07</v>
      </c>
      <c r="AV61">
        <v>45.74</v>
      </c>
    </row>
    <row r="62" spans="1:48" hidden="1" x14ac:dyDescent="0.2">
      <c r="A62">
        <v>102</v>
      </c>
      <c r="B62" t="s">
        <v>192</v>
      </c>
      <c r="C62" t="s">
        <v>193</v>
      </c>
      <c r="D62" t="s">
        <v>194</v>
      </c>
      <c r="E62" t="s">
        <v>195</v>
      </c>
      <c r="F62">
        <v>18</v>
      </c>
      <c r="G62" t="s">
        <v>222</v>
      </c>
      <c r="H62" t="s">
        <v>68</v>
      </c>
      <c r="I62" t="s">
        <v>69</v>
      </c>
      <c r="J62" s="2" t="s">
        <v>229</v>
      </c>
      <c r="K62" t="s">
        <v>230</v>
      </c>
      <c r="L62" s="2" t="s">
        <v>86</v>
      </c>
      <c r="M62" s="1">
        <v>46006</v>
      </c>
      <c r="N62" s="1">
        <v>46030</v>
      </c>
      <c r="O62" s="1">
        <v>46022</v>
      </c>
      <c r="Q62">
        <v>0</v>
      </c>
      <c r="R62">
        <v>0</v>
      </c>
      <c r="S62">
        <v>0</v>
      </c>
      <c r="T62" s="2">
        <v>0</v>
      </c>
      <c r="U62" s="2">
        <v>0</v>
      </c>
      <c r="V62" s="2">
        <v>0</v>
      </c>
      <c r="W62" s="2">
        <v>1060</v>
      </c>
      <c r="X62">
        <v>0</v>
      </c>
      <c r="Y62">
        <v>653.14</v>
      </c>
      <c r="Z62">
        <v>0</v>
      </c>
      <c r="AA62">
        <v>62.78</v>
      </c>
      <c r="AB62">
        <v>29.31</v>
      </c>
      <c r="AC62">
        <v>4.7</v>
      </c>
      <c r="AD62" s="2">
        <v>749.93</v>
      </c>
      <c r="AE62">
        <v>310.07</v>
      </c>
      <c r="AF62">
        <v>29.25</v>
      </c>
      <c r="AG62">
        <v>310.07</v>
      </c>
      <c r="AH62">
        <v>29.25</v>
      </c>
      <c r="AI62">
        <v>0</v>
      </c>
      <c r="AJ62">
        <v>3.23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1060</v>
      </c>
      <c r="AR62">
        <v>1060</v>
      </c>
      <c r="AS62">
        <v>749.93</v>
      </c>
      <c r="AT62">
        <v>0</v>
      </c>
      <c r="AU62">
        <v>310.07</v>
      </c>
      <c r="AV62">
        <v>29.25</v>
      </c>
    </row>
    <row r="63" spans="1:48" hidden="1" x14ac:dyDescent="0.2">
      <c r="A63">
        <v>102</v>
      </c>
      <c r="B63" t="s">
        <v>192</v>
      </c>
      <c r="C63" t="s">
        <v>193</v>
      </c>
      <c r="D63" t="s">
        <v>194</v>
      </c>
      <c r="E63" t="s">
        <v>195</v>
      </c>
      <c r="F63">
        <v>18</v>
      </c>
      <c r="G63" t="s">
        <v>222</v>
      </c>
      <c r="H63" t="s">
        <v>68</v>
      </c>
      <c r="I63" t="s">
        <v>69</v>
      </c>
      <c r="J63" s="2" t="s">
        <v>231</v>
      </c>
      <c r="K63" t="s">
        <v>232</v>
      </c>
      <c r="L63" s="2" t="s">
        <v>86</v>
      </c>
      <c r="M63" s="1">
        <v>46007</v>
      </c>
      <c r="N63" s="1">
        <v>46033</v>
      </c>
      <c r="O63" s="1">
        <v>46022</v>
      </c>
      <c r="Q63">
        <v>0</v>
      </c>
      <c r="R63">
        <v>0</v>
      </c>
      <c r="S63">
        <v>0</v>
      </c>
      <c r="T63" s="2">
        <v>0</v>
      </c>
      <c r="U63" s="2">
        <v>0</v>
      </c>
      <c r="V63" s="2">
        <v>0</v>
      </c>
      <c r="W63" s="2">
        <v>548.5</v>
      </c>
      <c r="X63">
        <v>0</v>
      </c>
      <c r="Y63">
        <v>88.96</v>
      </c>
      <c r="Z63">
        <v>0</v>
      </c>
      <c r="AA63">
        <v>208.15</v>
      </c>
      <c r="AB63">
        <v>106.63</v>
      </c>
      <c r="AC63">
        <v>18.59</v>
      </c>
      <c r="AD63" s="2">
        <v>422.33</v>
      </c>
      <c r="AE63">
        <v>126.17</v>
      </c>
      <c r="AF63">
        <v>23</v>
      </c>
      <c r="AG63">
        <v>126.17</v>
      </c>
      <c r="AH63">
        <v>23</v>
      </c>
      <c r="AI63">
        <v>0</v>
      </c>
      <c r="AJ63">
        <v>11.72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548.5</v>
      </c>
      <c r="AR63">
        <v>548.5</v>
      </c>
      <c r="AS63">
        <v>422.33</v>
      </c>
      <c r="AT63">
        <v>0</v>
      </c>
      <c r="AU63">
        <v>126.17</v>
      </c>
      <c r="AV63">
        <v>23</v>
      </c>
    </row>
    <row r="64" spans="1:48" hidden="1" x14ac:dyDescent="0.2">
      <c r="A64">
        <v>102</v>
      </c>
      <c r="B64" t="s">
        <v>192</v>
      </c>
      <c r="C64" t="s">
        <v>193</v>
      </c>
      <c r="D64" t="s">
        <v>194</v>
      </c>
      <c r="E64" t="s">
        <v>195</v>
      </c>
      <c r="F64">
        <v>18</v>
      </c>
      <c r="G64" t="s">
        <v>222</v>
      </c>
      <c r="H64" t="s">
        <v>68</v>
      </c>
      <c r="I64" t="s">
        <v>69</v>
      </c>
      <c r="J64" s="2" t="s">
        <v>233</v>
      </c>
      <c r="K64" t="s">
        <v>234</v>
      </c>
      <c r="L64" s="2" t="s">
        <v>86</v>
      </c>
      <c r="M64" s="1">
        <v>46009</v>
      </c>
      <c r="N64" s="1">
        <v>46030</v>
      </c>
      <c r="O64" t="s">
        <v>64</v>
      </c>
      <c r="Q64">
        <v>0</v>
      </c>
      <c r="R64">
        <v>0</v>
      </c>
      <c r="S64">
        <v>0</v>
      </c>
      <c r="T64" s="2">
        <v>0</v>
      </c>
      <c r="U64" s="2">
        <v>0</v>
      </c>
      <c r="V64" s="2">
        <v>0</v>
      </c>
      <c r="W64" s="2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 s="2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84.66</v>
      </c>
      <c r="AN64">
        <v>4.9400000000000004</v>
      </c>
      <c r="AO64">
        <v>8.68</v>
      </c>
      <c r="AP64">
        <v>98.28</v>
      </c>
      <c r="AQ64">
        <v>0</v>
      </c>
      <c r="AR64">
        <v>0</v>
      </c>
      <c r="AS64">
        <v>0</v>
      </c>
      <c r="AT64">
        <v>98.28</v>
      </c>
      <c r="AU64">
        <v>-98.28</v>
      </c>
      <c r="AV64">
        <v>0</v>
      </c>
    </row>
    <row r="65" spans="1:48" hidden="1" x14ac:dyDescent="0.2">
      <c r="A65">
        <v>102</v>
      </c>
      <c r="B65" t="s">
        <v>192</v>
      </c>
      <c r="C65" t="s">
        <v>193</v>
      </c>
      <c r="D65" t="s">
        <v>194</v>
      </c>
      <c r="E65" t="s">
        <v>195</v>
      </c>
      <c r="F65">
        <v>25</v>
      </c>
      <c r="G65" t="s">
        <v>235</v>
      </c>
      <c r="H65" t="s">
        <v>68</v>
      </c>
      <c r="I65" t="s">
        <v>69</v>
      </c>
      <c r="J65" s="2" t="s">
        <v>236</v>
      </c>
      <c r="K65" t="s">
        <v>237</v>
      </c>
      <c r="L65" s="2" t="s">
        <v>86</v>
      </c>
      <c r="M65" s="1">
        <v>45867</v>
      </c>
      <c r="N65" s="1">
        <v>45880</v>
      </c>
      <c r="O65" s="1">
        <v>46022</v>
      </c>
      <c r="Q65">
        <v>0</v>
      </c>
      <c r="R65">
        <v>0</v>
      </c>
      <c r="S65">
        <v>0</v>
      </c>
      <c r="T65" s="2">
        <v>0</v>
      </c>
      <c r="U65" s="2">
        <v>0</v>
      </c>
      <c r="V65" s="2">
        <v>0</v>
      </c>
      <c r="W65" s="2">
        <v>-72.819999999999993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 s="2">
        <v>0</v>
      </c>
      <c r="AE65">
        <v>-72.819999999999993</v>
      </c>
      <c r="AF65">
        <v>100</v>
      </c>
      <c r="AG65">
        <v>-72.819999999999993</v>
      </c>
      <c r="AH65">
        <v>100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-72.819999999999993</v>
      </c>
      <c r="AR65">
        <v>682.76</v>
      </c>
      <c r="AS65">
        <v>462.44</v>
      </c>
      <c r="AT65">
        <v>0</v>
      </c>
      <c r="AU65">
        <v>220.32</v>
      </c>
      <c r="AV65">
        <v>32.270000000000003</v>
      </c>
    </row>
    <row r="66" spans="1:48" hidden="1" x14ac:dyDescent="0.2">
      <c r="A66">
        <v>102</v>
      </c>
      <c r="B66" t="s">
        <v>192</v>
      </c>
      <c r="C66" t="s">
        <v>193</v>
      </c>
      <c r="D66" t="s">
        <v>194</v>
      </c>
      <c r="E66" t="s">
        <v>195</v>
      </c>
      <c r="F66">
        <v>25</v>
      </c>
      <c r="G66" t="s">
        <v>235</v>
      </c>
      <c r="H66" t="s">
        <v>68</v>
      </c>
      <c r="I66" t="s">
        <v>69</v>
      </c>
      <c r="J66" s="2" t="s">
        <v>238</v>
      </c>
      <c r="K66" t="s">
        <v>239</v>
      </c>
      <c r="L66" s="2" t="s">
        <v>86</v>
      </c>
      <c r="M66" s="1">
        <v>46017</v>
      </c>
      <c r="N66" s="1">
        <v>46031</v>
      </c>
      <c r="O66" s="1">
        <v>46022</v>
      </c>
      <c r="Q66">
        <v>0</v>
      </c>
      <c r="R66">
        <v>0</v>
      </c>
      <c r="S66">
        <v>0</v>
      </c>
      <c r="T66" s="2">
        <v>0</v>
      </c>
      <c r="U66" s="2">
        <v>0</v>
      </c>
      <c r="V66" s="2">
        <v>0</v>
      </c>
      <c r="W66" s="2">
        <v>186</v>
      </c>
      <c r="X66">
        <v>0</v>
      </c>
      <c r="Y66">
        <v>0</v>
      </c>
      <c r="Z66">
        <v>0</v>
      </c>
      <c r="AA66">
        <v>36.76</v>
      </c>
      <c r="AB66">
        <v>87.66</v>
      </c>
      <c r="AC66">
        <v>5.14</v>
      </c>
      <c r="AD66" s="2">
        <v>129.56</v>
      </c>
      <c r="AE66">
        <v>56.44</v>
      </c>
      <c r="AF66">
        <v>30.34</v>
      </c>
      <c r="AG66">
        <v>56.44</v>
      </c>
      <c r="AH66">
        <v>30.34</v>
      </c>
      <c r="AI66">
        <v>0</v>
      </c>
      <c r="AJ66">
        <v>3.86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186</v>
      </c>
      <c r="AR66">
        <v>186</v>
      </c>
      <c r="AS66">
        <v>129.56</v>
      </c>
      <c r="AT66">
        <v>0</v>
      </c>
      <c r="AU66">
        <v>56.44</v>
      </c>
      <c r="AV66">
        <v>30.34</v>
      </c>
    </row>
    <row r="67" spans="1:48" hidden="1" x14ac:dyDescent="0.2">
      <c r="A67">
        <v>102</v>
      </c>
      <c r="B67" t="s">
        <v>192</v>
      </c>
      <c r="C67" t="s">
        <v>193</v>
      </c>
      <c r="D67" t="s">
        <v>194</v>
      </c>
      <c r="E67" t="s">
        <v>195</v>
      </c>
      <c r="F67">
        <v>27</v>
      </c>
      <c r="G67" t="s">
        <v>240</v>
      </c>
      <c r="H67" t="s">
        <v>68</v>
      </c>
      <c r="I67" t="s">
        <v>69</v>
      </c>
      <c r="J67" s="2" t="s">
        <v>241</v>
      </c>
      <c r="K67" t="s">
        <v>242</v>
      </c>
      <c r="L67" s="2" t="s">
        <v>86</v>
      </c>
      <c r="M67" s="1">
        <v>45994</v>
      </c>
      <c r="N67" s="1">
        <v>46029</v>
      </c>
      <c r="O67" s="1">
        <v>46022</v>
      </c>
      <c r="Q67">
        <v>0</v>
      </c>
      <c r="R67">
        <v>0</v>
      </c>
      <c r="S67">
        <v>0</v>
      </c>
      <c r="T67" s="2">
        <v>0</v>
      </c>
      <c r="U67" s="2">
        <v>0</v>
      </c>
      <c r="V67" s="2">
        <v>0</v>
      </c>
      <c r="W67" s="2">
        <v>87.14</v>
      </c>
      <c r="X67">
        <v>0</v>
      </c>
      <c r="Y67">
        <v>14.31</v>
      </c>
      <c r="Z67">
        <v>0</v>
      </c>
      <c r="AA67">
        <v>28.5</v>
      </c>
      <c r="AB67">
        <v>46.27</v>
      </c>
      <c r="AC67">
        <v>3.08</v>
      </c>
      <c r="AD67" s="2">
        <v>92.16</v>
      </c>
      <c r="AE67">
        <v>-5.0199999999999996</v>
      </c>
      <c r="AF67">
        <v>-5.76</v>
      </c>
      <c r="AG67">
        <v>-5.0199999999999996</v>
      </c>
      <c r="AH67">
        <v>-5.76</v>
      </c>
      <c r="AI67">
        <v>0</v>
      </c>
      <c r="AJ67">
        <v>2.08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87.14</v>
      </c>
      <c r="AR67">
        <v>87.14</v>
      </c>
      <c r="AS67">
        <v>92.16</v>
      </c>
      <c r="AT67">
        <v>0</v>
      </c>
      <c r="AU67">
        <v>-5.0199999999999996</v>
      </c>
      <c r="AV67">
        <v>-5.76</v>
      </c>
    </row>
    <row r="68" spans="1:48" hidden="1" x14ac:dyDescent="0.2">
      <c r="A68">
        <v>102</v>
      </c>
      <c r="B68" t="s">
        <v>192</v>
      </c>
      <c r="C68" t="s">
        <v>193</v>
      </c>
      <c r="D68" t="s">
        <v>194</v>
      </c>
      <c r="E68" t="s">
        <v>195</v>
      </c>
      <c r="F68">
        <v>27</v>
      </c>
      <c r="G68" t="s">
        <v>240</v>
      </c>
      <c r="H68" t="s">
        <v>68</v>
      </c>
      <c r="I68" t="s">
        <v>69</v>
      </c>
      <c r="J68" s="2" t="s">
        <v>243</v>
      </c>
      <c r="K68" t="s">
        <v>244</v>
      </c>
      <c r="L68" s="2" t="s">
        <v>86</v>
      </c>
      <c r="M68" s="1">
        <v>46020</v>
      </c>
      <c r="N68" s="1">
        <v>46033</v>
      </c>
      <c r="O68" s="1">
        <v>46022</v>
      </c>
      <c r="Q68">
        <v>0</v>
      </c>
      <c r="R68">
        <v>0</v>
      </c>
      <c r="S68">
        <v>0</v>
      </c>
      <c r="T68" s="2">
        <v>0</v>
      </c>
      <c r="U68" s="2">
        <v>0</v>
      </c>
      <c r="V68" s="2">
        <v>0</v>
      </c>
      <c r="W68" s="2">
        <v>216.5</v>
      </c>
      <c r="X68">
        <v>0</v>
      </c>
      <c r="Y68">
        <v>28.95</v>
      </c>
      <c r="Z68">
        <v>0</v>
      </c>
      <c r="AA68">
        <v>41.71</v>
      </c>
      <c r="AB68">
        <v>28.62</v>
      </c>
      <c r="AC68">
        <v>4.0599999999999996</v>
      </c>
      <c r="AD68" s="2">
        <v>103.34</v>
      </c>
      <c r="AE68">
        <v>113.16</v>
      </c>
      <c r="AF68">
        <v>52.27</v>
      </c>
      <c r="AG68">
        <v>113.16</v>
      </c>
      <c r="AH68">
        <v>52.27</v>
      </c>
      <c r="AI68">
        <v>0</v>
      </c>
      <c r="AJ68">
        <v>2.4500000000000002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216.5</v>
      </c>
      <c r="AR68">
        <v>216.5</v>
      </c>
      <c r="AS68">
        <v>103.34</v>
      </c>
      <c r="AT68">
        <v>0</v>
      </c>
      <c r="AU68">
        <v>113.16</v>
      </c>
      <c r="AV68">
        <v>52.27</v>
      </c>
    </row>
    <row r="69" spans="1:48" hidden="1" x14ac:dyDescent="0.2">
      <c r="A69">
        <v>102</v>
      </c>
      <c r="B69" t="s">
        <v>192</v>
      </c>
      <c r="C69" t="s">
        <v>193</v>
      </c>
      <c r="D69" t="s">
        <v>194</v>
      </c>
      <c r="E69" t="s">
        <v>195</v>
      </c>
      <c r="F69">
        <v>35</v>
      </c>
      <c r="G69" t="s">
        <v>245</v>
      </c>
      <c r="H69" t="s">
        <v>68</v>
      </c>
      <c r="I69" t="s">
        <v>69</v>
      </c>
      <c r="J69" s="2" t="s">
        <v>246</v>
      </c>
      <c r="K69" t="s">
        <v>247</v>
      </c>
      <c r="L69" s="2" t="s">
        <v>86</v>
      </c>
      <c r="M69" s="1">
        <v>45994</v>
      </c>
      <c r="N69" s="1">
        <v>46030</v>
      </c>
      <c r="O69" s="1">
        <v>46022</v>
      </c>
      <c r="Q69">
        <v>0</v>
      </c>
      <c r="R69">
        <v>0</v>
      </c>
      <c r="S69">
        <v>0</v>
      </c>
      <c r="T69" s="2">
        <v>0</v>
      </c>
      <c r="U69" s="2">
        <v>0</v>
      </c>
      <c r="V69" s="2">
        <v>0</v>
      </c>
      <c r="W69" s="2">
        <v>128.69999999999999</v>
      </c>
      <c r="X69">
        <v>0</v>
      </c>
      <c r="Y69">
        <v>30.14</v>
      </c>
      <c r="Z69">
        <v>0</v>
      </c>
      <c r="AA69">
        <v>22.71</v>
      </c>
      <c r="AB69">
        <v>17.5</v>
      </c>
      <c r="AC69">
        <v>2.1</v>
      </c>
      <c r="AD69" s="2">
        <v>72.45</v>
      </c>
      <c r="AE69">
        <v>56.25</v>
      </c>
      <c r="AF69">
        <v>43.71</v>
      </c>
      <c r="AG69">
        <v>56.25</v>
      </c>
      <c r="AH69">
        <v>43.71</v>
      </c>
      <c r="AI69">
        <v>0</v>
      </c>
      <c r="AJ69">
        <v>1.35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128.69999999999999</v>
      </c>
      <c r="AR69">
        <v>128.69999999999999</v>
      </c>
      <c r="AS69">
        <v>72.45</v>
      </c>
      <c r="AT69">
        <v>0</v>
      </c>
      <c r="AU69">
        <v>56.25</v>
      </c>
      <c r="AV69">
        <v>43.71</v>
      </c>
    </row>
    <row r="70" spans="1:48" hidden="1" x14ac:dyDescent="0.2">
      <c r="A70">
        <v>102</v>
      </c>
      <c r="B70" t="s">
        <v>192</v>
      </c>
      <c r="C70" t="s">
        <v>193</v>
      </c>
      <c r="D70" t="s">
        <v>194</v>
      </c>
      <c r="E70" t="s">
        <v>195</v>
      </c>
      <c r="F70">
        <v>35</v>
      </c>
      <c r="G70" t="s">
        <v>245</v>
      </c>
      <c r="H70" t="s">
        <v>68</v>
      </c>
      <c r="I70" t="s">
        <v>69</v>
      </c>
      <c r="J70" s="2" t="s">
        <v>248</v>
      </c>
      <c r="K70" t="s">
        <v>249</v>
      </c>
      <c r="L70" s="2" t="s">
        <v>86</v>
      </c>
      <c r="M70" s="1">
        <v>46000</v>
      </c>
      <c r="N70" s="1">
        <v>46009</v>
      </c>
      <c r="O70" s="1">
        <v>46022</v>
      </c>
      <c r="Q70">
        <v>0</v>
      </c>
      <c r="R70">
        <v>0</v>
      </c>
      <c r="S70">
        <v>0</v>
      </c>
      <c r="T70" s="2">
        <v>0</v>
      </c>
      <c r="U70" s="2">
        <v>0</v>
      </c>
      <c r="V70" s="2">
        <v>0</v>
      </c>
      <c r="W70" s="2">
        <v>283</v>
      </c>
      <c r="X70">
        <v>0</v>
      </c>
      <c r="Y70">
        <v>122.6</v>
      </c>
      <c r="Z70">
        <v>0</v>
      </c>
      <c r="AA70">
        <v>19.82</v>
      </c>
      <c r="AB70">
        <v>0.52</v>
      </c>
      <c r="AC70">
        <v>0.91</v>
      </c>
      <c r="AD70" s="2">
        <v>143.85</v>
      </c>
      <c r="AE70">
        <v>139.15</v>
      </c>
      <c r="AF70">
        <v>49.17</v>
      </c>
      <c r="AG70">
        <v>139.15</v>
      </c>
      <c r="AH70">
        <v>49.17</v>
      </c>
      <c r="AI70">
        <v>0</v>
      </c>
      <c r="AJ70">
        <v>0.8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283</v>
      </c>
      <c r="AR70">
        <v>283</v>
      </c>
      <c r="AS70">
        <v>143.85</v>
      </c>
      <c r="AT70">
        <v>0</v>
      </c>
      <c r="AU70">
        <v>139.15</v>
      </c>
      <c r="AV70">
        <v>49.17</v>
      </c>
    </row>
    <row r="71" spans="1:48" hidden="1" x14ac:dyDescent="0.2">
      <c r="A71">
        <v>102</v>
      </c>
      <c r="B71" t="s">
        <v>192</v>
      </c>
      <c r="C71" t="s">
        <v>193</v>
      </c>
      <c r="D71" t="s">
        <v>194</v>
      </c>
      <c r="E71" t="s">
        <v>195</v>
      </c>
      <c r="F71">
        <v>35</v>
      </c>
      <c r="G71" t="s">
        <v>245</v>
      </c>
      <c r="H71" t="s">
        <v>68</v>
      </c>
      <c r="I71" t="s">
        <v>69</v>
      </c>
      <c r="J71" s="2" t="s">
        <v>250</v>
      </c>
      <c r="K71" t="s">
        <v>251</v>
      </c>
      <c r="L71" s="2" t="s">
        <v>86</v>
      </c>
      <c r="M71" s="1">
        <v>46003</v>
      </c>
      <c r="N71" s="1">
        <v>46009</v>
      </c>
      <c r="O71" s="1">
        <v>46022</v>
      </c>
      <c r="Q71">
        <v>0</v>
      </c>
      <c r="R71">
        <v>0</v>
      </c>
      <c r="S71">
        <v>0</v>
      </c>
      <c r="T71" s="2">
        <v>0</v>
      </c>
      <c r="U71" s="2">
        <v>0</v>
      </c>
      <c r="V71" s="2">
        <v>0</v>
      </c>
      <c r="W71" s="2">
        <v>286.52</v>
      </c>
      <c r="X71">
        <v>0</v>
      </c>
      <c r="Y71">
        <v>51.59</v>
      </c>
      <c r="Z71">
        <v>0</v>
      </c>
      <c r="AA71">
        <v>42.13</v>
      </c>
      <c r="AB71">
        <v>9.76</v>
      </c>
      <c r="AC71">
        <v>0</v>
      </c>
      <c r="AD71" s="2">
        <v>103.48</v>
      </c>
      <c r="AE71">
        <v>183.04</v>
      </c>
      <c r="AF71">
        <v>63.88</v>
      </c>
      <c r="AG71">
        <v>183.04</v>
      </c>
      <c r="AH71">
        <v>63.88</v>
      </c>
      <c r="AI71">
        <v>0</v>
      </c>
      <c r="AJ71">
        <v>2.08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286.52</v>
      </c>
      <c r="AR71">
        <v>286.52</v>
      </c>
      <c r="AS71">
        <v>103.48</v>
      </c>
      <c r="AT71">
        <v>0</v>
      </c>
      <c r="AU71">
        <v>183.04</v>
      </c>
      <c r="AV71">
        <v>63.88</v>
      </c>
    </row>
    <row r="72" spans="1:48" hidden="1" x14ac:dyDescent="0.2">
      <c r="A72">
        <v>102</v>
      </c>
      <c r="B72" t="s">
        <v>192</v>
      </c>
      <c r="C72" t="s">
        <v>193</v>
      </c>
      <c r="D72" t="s">
        <v>194</v>
      </c>
      <c r="E72" t="s">
        <v>195</v>
      </c>
      <c r="F72">
        <v>38</v>
      </c>
      <c r="G72" t="s">
        <v>252</v>
      </c>
      <c r="H72" t="s">
        <v>68</v>
      </c>
      <c r="I72" t="s">
        <v>69</v>
      </c>
      <c r="J72" s="2" t="s">
        <v>253</v>
      </c>
      <c r="K72" t="s">
        <v>254</v>
      </c>
      <c r="L72" s="2" t="s">
        <v>86</v>
      </c>
      <c r="M72" s="1">
        <v>46006</v>
      </c>
      <c r="N72" s="1">
        <v>46030</v>
      </c>
      <c r="O72" s="1">
        <v>46022</v>
      </c>
      <c r="Q72">
        <v>0</v>
      </c>
      <c r="R72">
        <v>0</v>
      </c>
      <c r="S72">
        <v>0</v>
      </c>
      <c r="T72" s="2">
        <v>0</v>
      </c>
      <c r="U72" s="2">
        <v>0</v>
      </c>
      <c r="V72" s="2">
        <v>0</v>
      </c>
      <c r="W72" s="2">
        <v>1603.4</v>
      </c>
      <c r="X72">
        <v>0</v>
      </c>
      <c r="Y72">
        <v>989.16</v>
      </c>
      <c r="Z72">
        <v>0</v>
      </c>
      <c r="AA72">
        <v>111.93</v>
      </c>
      <c r="AB72">
        <v>13.54</v>
      </c>
      <c r="AC72">
        <v>7.53</v>
      </c>
      <c r="AD72" s="2">
        <v>1122.1600000000001</v>
      </c>
      <c r="AE72">
        <v>481.24</v>
      </c>
      <c r="AF72">
        <v>30.01</v>
      </c>
      <c r="AG72">
        <v>481.24</v>
      </c>
      <c r="AH72">
        <v>30.01</v>
      </c>
      <c r="AI72">
        <v>0</v>
      </c>
      <c r="AJ72">
        <v>4.71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1603.4</v>
      </c>
      <c r="AR72">
        <v>1603.4</v>
      </c>
      <c r="AS72">
        <v>1122.1600000000001</v>
      </c>
      <c r="AT72">
        <v>0</v>
      </c>
      <c r="AU72">
        <v>481.24</v>
      </c>
      <c r="AV72">
        <v>30.01</v>
      </c>
    </row>
    <row r="73" spans="1:48" hidden="1" x14ac:dyDescent="0.2">
      <c r="A73">
        <v>102</v>
      </c>
      <c r="B73" t="s">
        <v>192</v>
      </c>
      <c r="C73" t="s">
        <v>193</v>
      </c>
      <c r="D73" t="s">
        <v>194</v>
      </c>
      <c r="E73" t="s">
        <v>195</v>
      </c>
      <c r="F73">
        <v>38</v>
      </c>
      <c r="G73" t="s">
        <v>252</v>
      </c>
      <c r="H73" t="s">
        <v>68</v>
      </c>
      <c r="I73" t="s">
        <v>69</v>
      </c>
      <c r="J73" s="2" t="s">
        <v>255</v>
      </c>
      <c r="K73" t="s">
        <v>256</v>
      </c>
      <c r="L73" s="2" t="s">
        <v>86</v>
      </c>
      <c r="M73" s="1">
        <v>46007</v>
      </c>
      <c r="N73" s="1">
        <v>46030</v>
      </c>
      <c r="O73" s="1">
        <v>46022</v>
      </c>
      <c r="Q73">
        <v>0</v>
      </c>
      <c r="R73">
        <v>0</v>
      </c>
      <c r="S73">
        <v>0</v>
      </c>
      <c r="T73" s="2">
        <v>0</v>
      </c>
      <c r="U73" s="2">
        <v>0</v>
      </c>
      <c r="V73" s="2">
        <v>0</v>
      </c>
      <c r="W73" s="2">
        <v>2077.09</v>
      </c>
      <c r="X73">
        <v>0</v>
      </c>
      <c r="Y73">
        <v>1218.17</v>
      </c>
      <c r="Z73">
        <v>0</v>
      </c>
      <c r="AA73">
        <v>211.04</v>
      </c>
      <c r="AB73">
        <v>5.32</v>
      </c>
      <c r="AC73">
        <v>12.09</v>
      </c>
      <c r="AD73" s="2">
        <v>1446.62</v>
      </c>
      <c r="AE73">
        <v>630.47</v>
      </c>
      <c r="AF73">
        <v>30.35</v>
      </c>
      <c r="AG73">
        <v>630.47</v>
      </c>
      <c r="AH73">
        <v>30.35</v>
      </c>
      <c r="AI73">
        <v>0</v>
      </c>
      <c r="AJ73">
        <v>8.69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2077.09</v>
      </c>
      <c r="AR73">
        <v>2077.09</v>
      </c>
      <c r="AS73">
        <v>1446.62</v>
      </c>
      <c r="AT73">
        <v>0</v>
      </c>
      <c r="AU73">
        <v>630.47</v>
      </c>
      <c r="AV73">
        <v>30.35</v>
      </c>
    </row>
    <row r="74" spans="1:48" hidden="1" x14ac:dyDescent="0.2">
      <c r="A74">
        <v>102</v>
      </c>
      <c r="B74" t="s">
        <v>192</v>
      </c>
      <c r="C74" t="s">
        <v>193</v>
      </c>
      <c r="D74" t="s">
        <v>194</v>
      </c>
      <c r="E74" t="s">
        <v>195</v>
      </c>
      <c r="F74">
        <v>38</v>
      </c>
      <c r="G74" t="s">
        <v>252</v>
      </c>
      <c r="H74" t="s">
        <v>68</v>
      </c>
      <c r="I74" t="s">
        <v>69</v>
      </c>
      <c r="J74" s="2" t="s">
        <v>257</v>
      </c>
      <c r="K74" t="s">
        <v>258</v>
      </c>
      <c r="L74" s="2" t="s">
        <v>86</v>
      </c>
      <c r="M74" s="1">
        <v>46009</v>
      </c>
      <c r="N74" s="1">
        <v>46029</v>
      </c>
      <c r="O74" s="1">
        <v>46022</v>
      </c>
      <c r="Q74">
        <v>0</v>
      </c>
      <c r="R74">
        <v>0</v>
      </c>
      <c r="S74">
        <v>0</v>
      </c>
      <c r="T74" s="2">
        <v>0</v>
      </c>
      <c r="U74" s="2">
        <v>0</v>
      </c>
      <c r="V74" s="2">
        <v>0</v>
      </c>
      <c r="W74" s="2">
        <v>57</v>
      </c>
      <c r="X74">
        <v>0</v>
      </c>
      <c r="Y74">
        <v>0</v>
      </c>
      <c r="Z74">
        <v>0</v>
      </c>
      <c r="AA74">
        <v>9.91</v>
      </c>
      <c r="AB74">
        <v>18.28</v>
      </c>
      <c r="AC74">
        <v>0</v>
      </c>
      <c r="AD74" s="2">
        <v>28.19</v>
      </c>
      <c r="AE74">
        <v>28.81</v>
      </c>
      <c r="AF74">
        <v>50.54</v>
      </c>
      <c r="AG74">
        <v>28.81</v>
      </c>
      <c r="AH74">
        <v>50.54</v>
      </c>
      <c r="AI74">
        <v>0</v>
      </c>
      <c r="AJ74">
        <v>0.83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57</v>
      </c>
      <c r="AR74">
        <v>57</v>
      </c>
      <c r="AS74">
        <v>28.19</v>
      </c>
      <c r="AT74">
        <v>0</v>
      </c>
      <c r="AU74">
        <v>28.81</v>
      </c>
      <c r="AV74">
        <v>50.54</v>
      </c>
    </row>
    <row r="75" spans="1:48" hidden="1" x14ac:dyDescent="0.2">
      <c r="A75">
        <v>102</v>
      </c>
      <c r="B75" t="s">
        <v>192</v>
      </c>
      <c r="C75" t="s">
        <v>193</v>
      </c>
      <c r="D75" t="s">
        <v>194</v>
      </c>
      <c r="E75" t="s">
        <v>195</v>
      </c>
      <c r="F75">
        <v>38</v>
      </c>
      <c r="G75" t="s">
        <v>252</v>
      </c>
      <c r="H75" t="s">
        <v>68</v>
      </c>
      <c r="I75" t="s">
        <v>69</v>
      </c>
      <c r="J75" s="2" t="s">
        <v>259</v>
      </c>
      <c r="K75" t="s">
        <v>260</v>
      </c>
      <c r="L75" s="2" t="s">
        <v>86</v>
      </c>
      <c r="M75" s="1">
        <v>46010</v>
      </c>
      <c r="N75" s="1">
        <v>46030</v>
      </c>
      <c r="O75" s="1">
        <v>46022</v>
      </c>
      <c r="Q75">
        <v>0</v>
      </c>
      <c r="R75">
        <v>0</v>
      </c>
      <c r="S75">
        <v>0</v>
      </c>
      <c r="T75" s="2">
        <v>0</v>
      </c>
      <c r="U75" s="2">
        <v>0</v>
      </c>
      <c r="V75" s="2">
        <v>0</v>
      </c>
      <c r="W75" s="2">
        <v>74</v>
      </c>
      <c r="X75">
        <v>0</v>
      </c>
      <c r="Y75">
        <v>0</v>
      </c>
      <c r="Z75">
        <v>0</v>
      </c>
      <c r="AA75">
        <v>17.350000000000001</v>
      </c>
      <c r="AB75">
        <v>0</v>
      </c>
      <c r="AC75">
        <v>1.22</v>
      </c>
      <c r="AD75" s="2">
        <v>18.57</v>
      </c>
      <c r="AE75">
        <v>55.43</v>
      </c>
      <c r="AF75">
        <v>74.91</v>
      </c>
      <c r="AG75">
        <v>55.43</v>
      </c>
      <c r="AH75">
        <v>74.91</v>
      </c>
      <c r="AI75">
        <v>0</v>
      </c>
      <c r="AJ75">
        <v>0.7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74</v>
      </c>
      <c r="AR75">
        <v>74</v>
      </c>
      <c r="AS75">
        <v>18.57</v>
      </c>
      <c r="AT75">
        <v>0</v>
      </c>
      <c r="AU75">
        <v>55.43</v>
      </c>
      <c r="AV75">
        <v>74.91</v>
      </c>
    </row>
    <row r="76" spans="1:48" hidden="1" x14ac:dyDescent="0.2">
      <c r="A76">
        <v>102</v>
      </c>
      <c r="B76" t="s">
        <v>192</v>
      </c>
      <c r="C76" t="s">
        <v>193</v>
      </c>
      <c r="D76" t="s">
        <v>194</v>
      </c>
      <c r="E76" t="s">
        <v>195</v>
      </c>
      <c r="F76">
        <v>38</v>
      </c>
      <c r="G76" t="s">
        <v>252</v>
      </c>
      <c r="H76" t="s">
        <v>68</v>
      </c>
      <c r="I76" t="s">
        <v>69</v>
      </c>
      <c r="J76" s="2" t="s">
        <v>261</v>
      </c>
      <c r="K76" t="s">
        <v>262</v>
      </c>
      <c r="L76" s="2" t="s">
        <v>86</v>
      </c>
      <c r="M76" s="1">
        <v>46013</v>
      </c>
      <c r="N76" s="1">
        <v>46030</v>
      </c>
      <c r="O76" s="1">
        <v>46022</v>
      </c>
      <c r="Q76">
        <v>0</v>
      </c>
      <c r="R76">
        <v>0</v>
      </c>
      <c r="S76">
        <v>0</v>
      </c>
      <c r="T76" s="2">
        <v>0</v>
      </c>
      <c r="U76" s="2">
        <v>0</v>
      </c>
      <c r="V76" s="2">
        <v>0</v>
      </c>
      <c r="W76" s="2">
        <v>357</v>
      </c>
      <c r="X76">
        <v>0</v>
      </c>
      <c r="Y76">
        <v>192.97</v>
      </c>
      <c r="Z76">
        <v>0</v>
      </c>
      <c r="AA76">
        <v>58.23</v>
      </c>
      <c r="AB76">
        <v>0</v>
      </c>
      <c r="AC76">
        <v>3.95</v>
      </c>
      <c r="AD76" s="2">
        <v>255.15</v>
      </c>
      <c r="AE76">
        <v>101.85</v>
      </c>
      <c r="AF76">
        <v>28.53</v>
      </c>
      <c r="AG76">
        <v>101.85</v>
      </c>
      <c r="AH76">
        <v>28.53</v>
      </c>
      <c r="AI76">
        <v>0</v>
      </c>
      <c r="AJ76">
        <v>2.35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357</v>
      </c>
      <c r="AR76">
        <v>357</v>
      </c>
      <c r="AS76">
        <v>255.15</v>
      </c>
      <c r="AT76">
        <v>0</v>
      </c>
      <c r="AU76">
        <v>101.85</v>
      </c>
      <c r="AV76">
        <v>28.53</v>
      </c>
    </row>
    <row r="77" spans="1:48" hidden="1" x14ac:dyDescent="0.2">
      <c r="A77">
        <v>102</v>
      </c>
      <c r="B77" t="s">
        <v>192</v>
      </c>
      <c r="C77" t="s">
        <v>193</v>
      </c>
      <c r="D77" t="s">
        <v>194</v>
      </c>
      <c r="E77" t="s">
        <v>195</v>
      </c>
      <c r="F77">
        <v>38</v>
      </c>
      <c r="G77" t="s">
        <v>252</v>
      </c>
      <c r="H77" t="s">
        <v>68</v>
      </c>
      <c r="I77" t="s">
        <v>69</v>
      </c>
      <c r="J77" s="2" t="s">
        <v>263</v>
      </c>
      <c r="K77" t="s">
        <v>264</v>
      </c>
      <c r="L77" s="2" t="s">
        <v>86</v>
      </c>
      <c r="M77" s="1">
        <v>46017</v>
      </c>
      <c r="N77" s="1">
        <v>46033</v>
      </c>
      <c r="O77" s="1">
        <v>46022</v>
      </c>
      <c r="Q77">
        <v>0</v>
      </c>
      <c r="R77">
        <v>0</v>
      </c>
      <c r="S77">
        <v>0</v>
      </c>
      <c r="T77" s="2">
        <v>0</v>
      </c>
      <c r="U77" s="2">
        <v>0</v>
      </c>
      <c r="V77" s="2">
        <v>0</v>
      </c>
      <c r="W77" s="2">
        <v>1808.68</v>
      </c>
      <c r="X77">
        <v>0</v>
      </c>
      <c r="Y77">
        <v>850.33</v>
      </c>
      <c r="Z77">
        <v>0</v>
      </c>
      <c r="AA77">
        <v>216.82</v>
      </c>
      <c r="AB77">
        <v>17.21</v>
      </c>
      <c r="AC77">
        <v>15.41</v>
      </c>
      <c r="AD77" s="2">
        <v>1099.77</v>
      </c>
      <c r="AE77">
        <v>708.91</v>
      </c>
      <c r="AF77">
        <v>39.19</v>
      </c>
      <c r="AG77">
        <v>708.91</v>
      </c>
      <c r="AH77">
        <v>39.19</v>
      </c>
      <c r="AI77">
        <v>0</v>
      </c>
      <c r="AJ77">
        <v>9.07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1808.68</v>
      </c>
      <c r="AR77">
        <v>1808.68</v>
      </c>
      <c r="AS77">
        <v>1099.77</v>
      </c>
      <c r="AT77">
        <v>0</v>
      </c>
      <c r="AU77">
        <v>708.91</v>
      </c>
      <c r="AV77">
        <v>39.19</v>
      </c>
    </row>
    <row r="78" spans="1:48" hidden="1" x14ac:dyDescent="0.2">
      <c r="A78">
        <v>102</v>
      </c>
      <c r="B78" t="s">
        <v>192</v>
      </c>
      <c r="C78" t="s">
        <v>193</v>
      </c>
      <c r="D78" t="s">
        <v>194</v>
      </c>
      <c r="E78" t="s">
        <v>195</v>
      </c>
      <c r="F78">
        <v>39</v>
      </c>
      <c r="G78" t="s">
        <v>265</v>
      </c>
      <c r="H78" t="s">
        <v>68</v>
      </c>
      <c r="I78" t="s">
        <v>69</v>
      </c>
      <c r="J78" s="2" t="s">
        <v>266</v>
      </c>
      <c r="K78" t="s">
        <v>267</v>
      </c>
      <c r="L78" s="2" t="s">
        <v>86</v>
      </c>
      <c r="M78" s="1">
        <v>45987</v>
      </c>
      <c r="N78" s="1">
        <v>46029</v>
      </c>
      <c r="O78" s="1">
        <v>46022</v>
      </c>
      <c r="Q78">
        <v>0</v>
      </c>
      <c r="R78">
        <v>0</v>
      </c>
      <c r="S78">
        <v>0</v>
      </c>
      <c r="T78" s="2">
        <v>0</v>
      </c>
      <c r="U78" s="2">
        <v>0</v>
      </c>
      <c r="V78" s="2">
        <v>0</v>
      </c>
      <c r="W78" s="2">
        <v>91</v>
      </c>
      <c r="X78">
        <v>0</v>
      </c>
      <c r="Y78">
        <v>0</v>
      </c>
      <c r="Z78">
        <v>0</v>
      </c>
      <c r="AA78">
        <v>1.65</v>
      </c>
      <c r="AB78">
        <v>10.25</v>
      </c>
      <c r="AC78">
        <v>0.52</v>
      </c>
      <c r="AD78" s="2">
        <v>12.42</v>
      </c>
      <c r="AE78">
        <v>78.58</v>
      </c>
      <c r="AF78">
        <v>86.35</v>
      </c>
      <c r="AG78">
        <v>78.58</v>
      </c>
      <c r="AH78">
        <v>86.35</v>
      </c>
      <c r="AI78">
        <v>0</v>
      </c>
      <c r="AJ78">
        <v>0.34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91</v>
      </c>
      <c r="AR78">
        <v>91</v>
      </c>
      <c r="AS78">
        <v>26.52</v>
      </c>
      <c r="AT78">
        <v>0</v>
      </c>
      <c r="AU78">
        <v>64.48</v>
      </c>
      <c r="AV78">
        <v>70.86</v>
      </c>
    </row>
    <row r="79" spans="1:48" hidden="1" x14ac:dyDescent="0.2">
      <c r="A79">
        <v>102</v>
      </c>
      <c r="B79" t="s">
        <v>192</v>
      </c>
      <c r="C79" t="s">
        <v>193</v>
      </c>
      <c r="D79" t="s">
        <v>194</v>
      </c>
      <c r="E79" t="s">
        <v>195</v>
      </c>
      <c r="F79">
        <v>41</v>
      </c>
      <c r="G79" t="s">
        <v>268</v>
      </c>
      <c r="H79" t="s">
        <v>68</v>
      </c>
      <c r="I79" t="s">
        <v>69</v>
      </c>
      <c r="J79" s="2" t="s">
        <v>269</v>
      </c>
      <c r="K79" t="s">
        <v>270</v>
      </c>
      <c r="L79" s="2" t="s">
        <v>86</v>
      </c>
      <c r="M79" s="1">
        <v>45994</v>
      </c>
      <c r="N79" s="1">
        <v>46031</v>
      </c>
      <c r="O79" s="1">
        <v>46022</v>
      </c>
      <c r="Q79">
        <v>0</v>
      </c>
      <c r="R79">
        <v>0</v>
      </c>
      <c r="S79">
        <v>0</v>
      </c>
      <c r="T79" s="2">
        <v>0</v>
      </c>
      <c r="U79" s="2">
        <v>0</v>
      </c>
      <c r="V79" s="2">
        <v>0</v>
      </c>
      <c r="W79" s="2">
        <v>134.28</v>
      </c>
      <c r="X79">
        <v>0</v>
      </c>
      <c r="Y79">
        <v>28.61</v>
      </c>
      <c r="Z79">
        <v>0</v>
      </c>
      <c r="AA79">
        <v>20.96</v>
      </c>
      <c r="AB79">
        <v>23.95</v>
      </c>
      <c r="AC79">
        <v>3.43</v>
      </c>
      <c r="AD79" s="2">
        <v>76.95</v>
      </c>
      <c r="AE79">
        <v>57.33</v>
      </c>
      <c r="AF79">
        <v>42.69</v>
      </c>
      <c r="AG79">
        <v>57.33</v>
      </c>
      <c r="AH79">
        <v>42.69</v>
      </c>
      <c r="AI79">
        <v>0</v>
      </c>
      <c r="AJ79">
        <v>1.73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134.28</v>
      </c>
      <c r="AR79">
        <v>134.28</v>
      </c>
      <c r="AS79">
        <v>76.95</v>
      </c>
      <c r="AT79">
        <v>0</v>
      </c>
      <c r="AU79">
        <v>57.33</v>
      </c>
      <c r="AV79">
        <v>42.69</v>
      </c>
    </row>
    <row r="80" spans="1:48" hidden="1" x14ac:dyDescent="0.2">
      <c r="A80">
        <v>102</v>
      </c>
      <c r="B80" t="s">
        <v>192</v>
      </c>
      <c r="C80" t="s">
        <v>193</v>
      </c>
      <c r="D80" t="s">
        <v>194</v>
      </c>
      <c r="E80" t="s">
        <v>195</v>
      </c>
      <c r="F80">
        <v>41</v>
      </c>
      <c r="G80" t="s">
        <v>268</v>
      </c>
      <c r="H80" t="s">
        <v>68</v>
      </c>
      <c r="I80" t="s">
        <v>69</v>
      </c>
      <c r="J80" s="2" t="s">
        <v>271</v>
      </c>
      <c r="K80" t="s">
        <v>272</v>
      </c>
      <c r="L80" s="2" t="s">
        <v>86</v>
      </c>
      <c r="M80" s="1">
        <v>46001</v>
      </c>
      <c r="N80" s="1">
        <v>46031</v>
      </c>
      <c r="O80" s="1">
        <v>46022</v>
      </c>
      <c r="Q80">
        <v>0</v>
      </c>
      <c r="R80">
        <v>0</v>
      </c>
      <c r="S80">
        <v>0</v>
      </c>
      <c r="T80" s="2">
        <v>0</v>
      </c>
      <c r="U80" s="2">
        <v>0</v>
      </c>
      <c r="V80" s="2">
        <v>0</v>
      </c>
      <c r="W80" s="2">
        <v>148</v>
      </c>
      <c r="X80">
        <v>0</v>
      </c>
      <c r="Y80">
        <v>0</v>
      </c>
      <c r="Z80">
        <v>0</v>
      </c>
      <c r="AA80">
        <v>40.270000000000003</v>
      </c>
      <c r="AB80">
        <v>20.04</v>
      </c>
      <c r="AC80">
        <v>2.64</v>
      </c>
      <c r="AD80" s="2">
        <v>62.95</v>
      </c>
      <c r="AE80">
        <v>85.05</v>
      </c>
      <c r="AF80">
        <v>57.47</v>
      </c>
      <c r="AG80">
        <v>85.05</v>
      </c>
      <c r="AH80">
        <v>57.47</v>
      </c>
      <c r="AI80">
        <v>0</v>
      </c>
      <c r="AJ80">
        <v>1.97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148</v>
      </c>
      <c r="AR80">
        <v>148</v>
      </c>
      <c r="AS80">
        <v>62.95</v>
      </c>
      <c r="AT80">
        <v>0</v>
      </c>
      <c r="AU80">
        <v>85.05</v>
      </c>
      <c r="AV80">
        <v>57.47</v>
      </c>
    </row>
    <row r="81" spans="1:48" hidden="1" x14ac:dyDescent="0.2">
      <c r="A81">
        <v>102</v>
      </c>
      <c r="B81" t="s">
        <v>192</v>
      </c>
      <c r="C81" t="s">
        <v>193</v>
      </c>
      <c r="D81" t="s">
        <v>194</v>
      </c>
      <c r="E81" t="s">
        <v>195</v>
      </c>
      <c r="F81">
        <v>41</v>
      </c>
      <c r="G81" t="s">
        <v>268</v>
      </c>
      <c r="H81" t="s">
        <v>68</v>
      </c>
      <c r="I81" t="s">
        <v>69</v>
      </c>
      <c r="J81" s="2" t="s">
        <v>273</v>
      </c>
      <c r="K81" t="s">
        <v>274</v>
      </c>
      <c r="L81" s="2" t="s">
        <v>86</v>
      </c>
      <c r="M81" s="1">
        <v>46003</v>
      </c>
      <c r="N81" s="1">
        <v>46029</v>
      </c>
      <c r="O81" t="s">
        <v>64</v>
      </c>
      <c r="Q81">
        <v>0</v>
      </c>
      <c r="R81">
        <v>0</v>
      </c>
      <c r="S81">
        <v>0</v>
      </c>
      <c r="T81" s="2">
        <v>0</v>
      </c>
      <c r="U81" s="2">
        <v>0</v>
      </c>
      <c r="V81" s="2">
        <v>0</v>
      </c>
      <c r="W81" s="2">
        <v>0</v>
      </c>
      <c r="X81">
        <v>0</v>
      </c>
      <c r="Y81">
        <v>0</v>
      </c>
      <c r="Z81">
        <v>0</v>
      </c>
      <c r="AA81">
        <v>2.89</v>
      </c>
      <c r="AB81">
        <v>0</v>
      </c>
      <c r="AC81">
        <v>0.14000000000000001</v>
      </c>
      <c r="AD81" s="2">
        <v>3.03</v>
      </c>
      <c r="AE81">
        <v>-3.03</v>
      </c>
      <c r="AF81">
        <v>0</v>
      </c>
      <c r="AG81">
        <v>-3.03</v>
      </c>
      <c r="AH81">
        <v>0</v>
      </c>
      <c r="AI81">
        <v>0</v>
      </c>
      <c r="AJ81">
        <v>0.12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3.03</v>
      </c>
      <c r="AT81">
        <v>0</v>
      </c>
      <c r="AU81">
        <v>-3.03</v>
      </c>
      <c r="AV81">
        <v>0</v>
      </c>
    </row>
    <row r="82" spans="1:48" hidden="1" x14ac:dyDescent="0.2">
      <c r="A82">
        <v>102</v>
      </c>
      <c r="B82" t="s">
        <v>192</v>
      </c>
      <c r="C82" t="s">
        <v>193</v>
      </c>
      <c r="D82" t="s">
        <v>194</v>
      </c>
      <c r="E82" t="s">
        <v>195</v>
      </c>
      <c r="F82">
        <v>41</v>
      </c>
      <c r="G82" t="s">
        <v>268</v>
      </c>
      <c r="H82" t="s">
        <v>68</v>
      </c>
      <c r="I82" t="s">
        <v>69</v>
      </c>
      <c r="J82" s="2" t="s">
        <v>275</v>
      </c>
      <c r="K82" t="s">
        <v>276</v>
      </c>
      <c r="L82" s="2" t="s">
        <v>86</v>
      </c>
      <c r="M82" s="1">
        <v>46006</v>
      </c>
      <c r="N82" s="1">
        <v>46029</v>
      </c>
      <c r="O82" s="1">
        <v>46022</v>
      </c>
      <c r="Q82">
        <v>0</v>
      </c>
      <c r="R82">
        <v>0</v>
      </c>
      <c r="S82">
        <v>0</v>
      </c>
      <c r="T82" s="2">
        <v>0</v>
      </c>
      <c r="U82" s="2">
        <v>0</v>
      </c>
      <c r="V82" s="2">
        <v>0</v>
      </c>
      <c r="W82" s="2">
        <v>213</v>
      </c>
      <c r="X82">
        <v>0</v>
      </c>
      <c r="Y82">
        <v>45.81</v>
      </c>
      <c r="Z82">
        <v>0</v>
      </c>
      <c r="AA82">
        <v>42.95</v>
      </c>
      <c r="AB82">
        <v>1.04</v>
      </c>
      <c r="AC82">
        <v>2.8</v>
      </c>
      <c r="AD82" s="2">
        <v>92.6</v>
      </c>
      <c r="AE82">
        <v>120.4</v>
      </c>
      <c r="AF82">
        <v>56.53</v>
      </c>
      <c r="AG82">
        <v>120.4</v>
      </c>
      <c r="AH82">
        <v>56.53</v>
      </c>
      <c r="AI82">
        <v>0</v>
      </c>
      <c r="AJ82">
        <v>1.73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213</v>
      </c>
      <c r="AR82">
        <v>213</v>
      </c>
      <c r="AS82">
        <v>92.6</v>
      </c>
      <c r="AT82">
        <v>0</v>
      </c>
      <c r="AU82">
        <v>120.4</v>
      </c>
      <c r="AV82">
        <v>56.53</v>
      </c>
    </row>
    <row r="83" spans="1:48" hidden="1" x14ac:dyDescent="0.2">
      <c r="A83">
        <v>102</v>
      </c>
      <c r="B83" t="s">
        <v>192</v>
      </c>
      <c r="C83" t="s">
        <v>193</v>
      </c>
      <c r="D83" t="s">
        <v>194</v>
      </c>
      <c r="E83" t="s">
        <v>195</v>
      </c>
      <c r="F83">
        <v>43</v>
      </c>
      <c r="G83" t="s">
        <v>277</v>
      </c>
      <c r="H83" t="s">
        <v>68</v>
      </c>
      <c r="I83" t="s">
        <v>69</v>
      </c>
      <c r="J83" s="2" t="s">
        <v>278</v>
      </c>
      <c r="K83" t="s">
        <v>279</v>
      </c>
      <c r="L83" s="2" t="s">
        <v>86</v>
      </c>
      <c r="M83" s="1">
        <v>46000</v>
      </c>
      <c r="N83" s="1">
        <v>46030</v>
      </c>
      <c r="O83" s="1">
        <v>46022</v>
      </c>
      <c r="Q83">
        <v>0</v>
      </c>
      <c r="R83">
        <v>0</v>
      </c>
      <c r="S83">
        <v>0</v>
      </c>
      <c r="T83" s="2">
        <v>0</v>
      </c>
      <c r="U83" s="2">
        <v>0</v>
      </c>
      <c r="V83" s="2">
        <v>0</v>
      </c>
      <c r="W83" s="2">
        <v>57</v>
      </c>
      <c r="X83">
        <v>0</v>
      </c>
      <c r="Y83">
        <v>0</v>
      </c>
      <c r="Z83">
        <v>0</v>
      </c>
      <c r="AA83">
        <v>12.8</v>
      </c>
      <c r="AB83">
        <v>12.68</v>
      </c>
      <c r="AC83">
        <v>1.08</v>
      </c>
      <c r="AD83" s="2">
        <v>26.56</v>
      </c>
      <c r="AE83">
        <v>30.44</v>
      </c>
      <c r="AF83">
        <v>53.4</v>
      </c>
      <c r="AG83">
        <v>30.44</v>
      </c>
      <c r="AH83">
        <v>53.4</v>
      </c>
      <c r="AI83">
        <v>0</v>
      </c>
      <c r="AJ83">
        <v>0.85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57</v>
      </c>
      <c r="AR83">
        <v>57</v>
      </c>
      <c r="AS83">
        <v>26.56</v>
      </c>
      <c r="AT83">
        <v>0</v>
      </c>
      <c r="AU83">
        <v>30.44</v>
      </c>
      <c r="AV83">
        <v>53.4</v>
      </c>
    </row>
    <row r="84" spans="1:48" hidden="1" x14ac:dyDescent="0.2">
      <c r="A84">
        <v>102</v>
      </c>
      <c r="B84" t="s">
        <v>192</v>
      </c>
      <c r="C84" t="s">
        <v>193</v>
      </c>
      <c r="D84" t="s">
        <v>194</v>
      </c>
      <c r="E84" t="s">
        <v>195</v>
      </c>
      <c r="F84">
        <v>43</v>
      </c>
      <c r="G84" t="s">
        <v>277</v>
      </c>
      <c r="H84" t="s">
        <v>68</v>
      </c>
      <c r="I84" t="s">
        <v>69</v>
      </c>
      <c r="J84" s="2" t="s">
        <v>280</v>
      </c>
      <c r="K84" t="s">
        <v>281</v>
      </c>
      <c r="L84" s="2" t="s">
        <v>86</v>
      </c>
      <c r="M84" s="1">
        <v>46009</v>
      </c>
      <c r="N84" s="1">
        <v>46031</v>
      </c>
      <c r="O84" s="1">
        <v>46022</v>
      </c>
      <c r="Q84">
        <v>0</v>
      </c>
      <c r="R84">
        <v>0</v>
      </c>
      <c r="S84">
        <v>0</v>
      </c>
      <c r="T84" s="2">
        <v>0</v>
      </c>
      <c r="U84" s="2">
        <v>0</v>
      </c>
      <c r="V84" s="2">
        <v>0</v>
      </c>
      <c r="W84" s="2">
        <v>74</v>
      </c>
      <c r="X84">
        <v>0</v>
      </c>
      <c r="Y84">
        <v>0</v>
      </c>
      <c r="Z84">
        <v>0</v>
      </c>
      <c r="AA84">
        <v>15.69</v>
      </c>
      <c r="AB84">
        <v>5.46</v>
      </c>
      <c r="AC84">
        <v>0.84</v>
      </c>
      <c r="AD84" s="2">
        <v>21.99</v>
      </c>
      <c r="AE84">
        <v>52.01</v>
      </c>
      <c r="AF84">
        <v>70.28</v>
      </c>
      <c r="AG84">
        <v>52.01</v>
      </c>
      <c r="AH84">
        <v>70.28</v>
      </c>
      <c r="AI84">
        <v>0</v>
      </c>
      <c r="AJ84">
        <v>0.63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74</v>
      </c>
      <c r="AR84">
        <v>74</v>
      </c>
      <c r="AS84">
        <v>21.99</v>
      </c>
      <c r="AT84">
        <v>0</v>
      </c>
      <c r="AU84">
        <v>52.01</v>
      </c>
      <c r="AV84">
        <v>70.28</v>
      </c>
    </row>
    <row r="85" spans="1:48" hidden="1" x14ac:dyDescent="0.2">
      <c r="A85">
        <v>102</v>
      </c>
      <c r="B85" t="s">
        <v>192</v>
      </c>
      <c r="C85" t="s">
        <v>193</v>
      </c>
      <c r="D85" t="s">
        <v>194</v>
      </c>
      <c r="E85" t="s">
        <v>195</v>
      </c>
      <c r="F85">
        <v>46</v>
      </c>
      <c r="G85" t="s">
        <v>282</v>
      </c>
      <c r="H85" t="s">
        <v>68</v>
      </c>
      <c r="I85" t="s">
        <v>69</v>
      </c>
      <c r="J85" s="2" t="s">
        <v>283</v>
      </c>
      <c r="K85" t="s">
        <v>284</v>
      </c>
      <c r="L85" s="2" t="s">
        <v>86</v>
      </c>
      <c r="M85" s="1">
        <v>45997</v>
      </c>
      <c r="N85" s="1">
        <v>46013</v>
      </c>
      <c r="O85" s="1">
        <v>46022</v>
      </c>
      <c r="Q85">
        <v>0</v>
      </c>
      <c r="R85">
        <v>0</v>
      </c>
      <c r="S85">
        <v>0</v>
      </c>
      <c r="T85" s="2">
        <v>0</v>
      </c>
      <c r="U85" s="2">
        <v>0</v>
      </c>
      <c r="V85" s="2">
        <v>0</v>
      </c>
      <c r="W85" s="2">
        <v>177</v>
      </c>
      <c r="X85">
        <v>0</v>
      </c>
      <c r="Y85">
        <v>0</v>
      </c>
      <c r="Z85">
        <v>0</v>
      </c>
      <c r="AA85">
        <v>51.62</v>
      </c>
      <c r="AB85">
        <v>32.950000000000003</v>
      </c>
      <c r="AC85">
        <v>3.9</v>
      </c>
      <c r="AD85" s="2">
        <v>88.47</v>
      </c>
      <c r="AE85">
        <v>88.53</v>
      </c>
      <c r="AF85">
        <v>50.02</v>
      </c>
      <c r="AG85">
        <v>88.53</v>
      </c>
      <c r="AH85">
        <v>50.02</v>
      </c>
      <c r="AI85">
        <v>0</v>
      </c>
      <c r="AJ85">
        <v>2.78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177</v>
      </c>
      <c r="AR85">
        <v>177</v>
      </c>
      <c r="AS85">
        <v>88.47</v>
      </c>
      <c r="AT85">
        <v>0</v>
      </c>
      <c r="AU85">
        <v>88.53</v>
      </c>
      <c r="AV85">
        <v>50.02</v>
      </c>
    </row>
    <row r="86" spans="1:48" hidden="1" x14ac:dyDescent="0.2">
      <c r="A86">
        <v>102</v>
      </c>
      <c r="B86" t="s">
        <v>192</v>
      </c>
      <c r="C86" t="s">
        <v>193</v>
      </c>
      <c r="D86" t="s">
        <v>194</v>
      </c>
      <c r="E86" t="s">
        <v>195</v>
      </c>
      <c r="F86">
        <v>46</v>
      </c>
      <c r="G86" t="s">
        <v>282</v>
      </c>
      <c r="H86" t="s">
        <v>68</v>
      </c>
      <c r="I86" t="s">
        <v>69</v>
      </c>
      <c r="J86" s="2" t="s">
        <v>285</v>
      </c>
      <c r="K86" t="s">
        <v>286</v>
      </c>
      <c r="L86" s="2" t="s">
        <v>86</v>
      </c>
      <c r="M86" s="1">
        <v>46001</v>
      </c>
      <c r="N86" s="1">
        <v>46030</v>
      </c>
      <c r="O86" s="1">
        <v>46022</v>
      </c>
      <c r="Q86">
        <v>0</v>
      </c>
      <c r="R86">
        <v>0</v>
      </c>
      <c r="S86">
        <v>0</v>
      </c>
      <c r="T86" s="2">
        <v>0</v>
      </c>
      <c r="U86" s="2">
        <v>0</v>
      </c>
      <c r="V86" s="2">
        <v>0</v>
      </c>
      <c r="W86" s="2">
        <v>500.5</v>
      </c>
      <c r="X86">
        <v>0</v>
      </c>
      <c r="Y86">
        <v>116.63</v>
      </c>
      <c r="Z86">
        <v>0</v>
      </c>
      <c r="AA86">
        <v>112.75</v>
      </c>
      <c r="AB86">
        <v>139.66999999999999</v>
      </c>
      <c r="AC86">
        <v>9.1</v>
      </c>
      <c r="AD86" s="2">
        <v>378.15</v>
      </c>
      <c r="AE86">
        <v>122.35</v>
      </c>
      <c r="AF86">
        <v>24.45</v>
      </c>
      <c r="AG86">
        <v>122.35</v>
      </c>
      <c r="AH86">
        <v>24.45</v>
      </c>
      <c r="AI86">
        <v>0</v>
      </c>
      <c r="AJ86">
        <v>7.7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500.5</v>
      </c>
      <c r="AR86">
        <v>500.5</v>
      </c>
      <c r="AS86">
        <v>378.15</v>
      </c>
      <c r="AT86">
        <v>0</v>
      </c>
      <c r="AU86">
        <v>122.35</v>
      </c>
      <c r="AV86">
        <v>24.45</v>
      </c>
    </row>
    <row r="87" spans="1:48" hidden="1" x14ac:dyDescent="0.2">
      <c r="A87">
        <v>102</v>
      </c>
      <c r="B87" t="s">
        <v>192</v>
      </c>
      <c r="C87" t="s">
        <v>193</v>
      </c>
      <c r="D87" t="s">
        <v>194</v>
      </c>
      <c r="E87" t="s">
        <v>195</v>
      </c>
      <c r="F87">
        <v>46</v>
      </c>
      <c r="G87" t="s">
        <v>282</v>
      </c>
      <c r="H87" t="s">
        <v>68</v>
      </c>
      <c r="I87" t="s">
        <v>69</v>
      </c>
      <c r="J87" s="2" t="s">
        <v>287</v>
      </c>
      <c r="K87" t="s">
        <v>288</v>
      </c>
      <c r="L87" s="2" t="s">
        <v>86</v>
      </c>
      <c r="M87" s="1">
        <v>46008</v>
      </c>
      <c r="N87" s="1">
        <v>46030</v>
      </c>
      <c r="O87" s="1">
        <v>46022</v>
      </c>
      <c r="Q87">
        <v>0</v>
      </c>
      <c r="R87">
        <v>0</v>
      </c>
      <c r="S87">
        <v>0</v>
      </c>
      <c r="T87" s="2">
        <v>0</v>
      </c>
      <c r="U87" s="2">
        <v>0</v>
      </c>
      <c r="V87" s="2">
        <v>0</v>
      </c>
      <c r="W87" s="2">
        <v>108</v>
      </c>
      <c r="X87">
        <v>0</v>
      </c>
      <c r="Y87">
        <v>0</v>
      </c>
      <c r="Z87">
        <v>0</v>
      </c>
      <c r="AA87">
        <v>38.78</v>
      </c>
      <c r="AB87">
        <v>33.9</v>
      </c>
      <c r="AC87">
        <v>3.72</v>
      </c>
      <c r="AD87" s="2">
        <v>76.400000000000006</v>
      </c>
      <c r="AE87">
        <v>31.6</v>
      </c>
      <c r="AF87">
        <v>29.26</v>
      </c>
      <c r="AG87">
        <v>31.6</v>
      </c>
      <c r="AH87">
        <v>29.26</v>
      </c>
      <c r="AI87">
        <v>0</v>
      </c>
      <c r="AJ87">
        <v>2.4500000000000002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108</v>
      </c>
      <c r="AR87">
        <v>108</v>
      </c>
      <c r="AS87">
        <v>76.400000000000006</v>
      </c>
      <c r="AT87">
        <v>0</v>
      </c>
      <c r="AU87">
        <v>31.6</v>
      </c>
      <c r="AV87">
        <v>29.26</v>
      </c>
    </row>
    <row r="88" spans="1:48" hidden="1" x14ac:dyDescent="0.2">
      <c r="A88">
        <v>102</v>
      </c>
      <c r="B88" t="s">
        <v>192</v>
      </c>
      <c r="C88" t="s">
        <v>193</v>
      </c>
      <c r="D88" t="s">
        <v>194</v>
      </c>
      <c r="E88" t="s">
        <v>195</v>
      </c>
      <c r="F88">
        <v>48</v>
      </c>
      <c r="G88" t="s">
        <v>289</v>
      </c>
      <c r="H88" t="s">
        <v>68</v>
      </c>
      <c r="I88" t="s">
        <v>69</v>
      </c>
      <c r="J88" s="2" t="s">
        <v>290</v>
      </c>
      <c r="K88" t="s">
        <v>291</v>
      </c>
      <c r="L88" s="2" t="s">
        <v>86</v>
      </c>
      <c r="M88" s="1">
        <v>46002</v>
      </c>
      <c r="N88" s="1">
        <v>46030</v>
      </c>
      <c r="O88" s="1">
        <v>46022</v>
      </c>
      <c r="Q88">
        <v>0</v>
      </c>
      <c r="R88">
        <v>0</v>
      </c>
      <c r="S88">
        <v>0</v>
      </c>
      <c r="T88" s="2">
        <v>0</v>
      </c>
      <c r="U88" s="2">
        <v>0</v>
      </c>
      <c r="V88" s="2">
        <v>0</v>
      </c>
      <c r="W88" s="2">
        <v>92.24</v>
      </c>
      <c r="X88">
        <v>0</v>
      </c>
      <c r="Y88">
        <v>9.14</v>
      </c>
      <c r="Z88">
        <v>0</v>
      </c>
      <c r="AA88">
        <v>21.06</v>
      </c>
      <c r="AB88">
        <v>23.45</v>
      </c>
      <c r="AC88">
        <v>1.8</v>
      </c>
      <c r="AD88" s="2">
        <v>55.45</v>
      </c>
      <c r="AE88">
        <v>36.79</v>
      </c>
      <c r="AF88">
        <v>39.89</v>
      </c>
      <c r="AG88">
        <v>36.79</v>
      </c>
      <c r="AH88">
        <v>39.89</v>
      </c>
      <c r="AI88">
        <v>0</v>
      </c>
      <c r="AJ88">
        <v>1.45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92.24</v>
      </c>
      <c r="AR88">
        <v>92.24</v>
      </c>
      <c r="AS88">
        <v>55.45</v>
      </c>
      <c r="AT88">
        <v>0</v>
      </c>
      <c r="AU88">
        <v>36.79</v>
      </c>
      <c r="AV88">
        <v>39.89</v>
      </c>
    </row>
    <row r="89" spans="1:48" hidden="1" x14ac:dyDescent="0.2">
      <c r="A89">
        <v>102</v>
      </c>
      <c r="B89" t="s">
        <v>192</v>
      </c>
      <c r="C89" t="s">
        <v>193</v>
      </c>
      <c r="D89" t="s">
        <v>194</v>
      </c>
      <c r="E89" t="s">
        <v>195</v>
      </c>
      <c r="F89">
        <v>58</v>
      </c>
      <c r="G89" t="s">
        <v>292</v>
      </c>
      <c r="H89" t="s">
        <v>68</v>
      </c>
      <c r="I89" t="s">
        <v>69</v>
      </c>
      <c r="J89" s="2" t="s">
        <v>293</v>
      </c>
      <c r="K89" t="s">
        <v>294</v>
      </c>
      <c r="L89" s="2" t="s">
        <v>86</v>
      </c>
      <c r="M89" s="1">
        <v>45987</v>
      </c>
      <c r="N89" s="1">
        <v>46031</v>
      </c>
      <c r="O89" s="1">
        <v>46022</v>
      </c>
      <c r="Q89">
        <v>0</v>
      </c>
      <c r="R89">
        <v>0</v>
      </c>
      <c r="S89">
        <v>0</v>
      </c>
      <c r="T89" s="2">
        <v>0</v>
      </c>
      <c r="U89" s="2">
        <v>0</v>
      </c>
      <c r="V89" s="2">
        <v>0</v>
      </c>
      <c r="W89" s="2">
        <v>108</v>
      </c>
      <c r="X89">
        <v>0</v>
      </c>
      <c r="Y89">
        <v>0</v>
      </c>
      <c r="Z89">
        <v>0</v>
      </c>
      <c r="AA89">
        <v>32.49</v>
      </c>
      <c r="AB89">
        <v>10.42</v>
      </c>
      <c r="AC89">
        <v>2.94</v>
      </c>
      <c r="AD89" s="2">
        <v>45.85</v>
      </c>
      <c r="AE89">
        <v>62.15</v>
      </c>
      <c r="AF89">
        <v>57.55</v>
      </c>
      <c r="AG89">
        <v>62.15</v>
      </c>
      <c r="AH89">
        <v>57.55</v>
      </c>
      <c r="AI89">
        <v>0</v>
      </c>
      <c r="AJ89">
        <v>1.65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108</v>
      </c>
      <c r="AR89">
        <v>108</v>
      </c>
      <c r="AS89">
        <v>45.85</v>
      </c>
      <c r="AT89">
        <v>0</v>
      </c>
      <c r="AU89">
        <v>62.15</v>
      </c>
      <c r="AV89">
        <v>57.55</v>
      </c>
    </row>
    <row r="90" spans="1:48" hidden="1" x14ac:dyDescent="0.2">
      <c r="A90">
        <v>102</v>
      </c>
      <c r="B90" t="s">
        <v>192</v>
      </c>
      <c r="C90" t="s">
        <v>193</v>
      </c>
      <c r="D90" t="s">
        <v>194</v>
      </c>
      <c r="E90" t="s">
        <v>195</v>
      </c>
      <c r="F90">
        <v>58</v>
      </c>
      <c r="G90" t="s">
        <v>292</v>
      </c>
      <c r="H90" t="s">
        <v>68</v>
      </c>
      <c r="I90" t="s">
        <v>69</v>
      </c>
      <c r="J90" s="2" t="s">
        <v>295</v>
      </c>
      <c r="K90" t="s">
        <v>296</v>
      </c>
      <c r="L90" s="2" t="s">
        <v>86</v>
      </c>
      <c r="M90" s="1">
        <v>45992</v>
      </c>
      <c r="N90" s="1">
        <v>46030</v>
      </c>
      <c r="O90" s="1">
        <v>46022</v>
      </c>
      <c r="Q90">
        <v>0</v>
      </c>
      <c r="R90">
        <v>0</v>
      </c>
      <c r="S90">
        <v>0</v>
      </c>
      <c r="T90" s="2">
        <v>0</v>
      </c>
      <c r="U90" s="2">
        <v>0</v>
      </c>
      <c r="V90" s="2">
        <v>0</v>
      </c>
      <c r="W90" s="2">
        <v>57</v>
      </c>
      <c r="X90">
        <v>0</v>
      </c>
      <c r="Y90">
        <v>0</v>
      </c>
      <c r="Z90">
        <v>0</v>
      </c>
      <c r="AA90">
        <v>11.15</v>
      </c>
      <c r="AB90">
        <v>4.6500000000000004</v>
      </c>
      <c r="AC90">
        <v>1.21</v>
      </c>
      <c r="AD90" s="2">
        <v>17.010000000000002</v>
      </c>
      <c r="AE90">
        <v>39.99</v>
      </c>
      <c r="AF90">
        <v>70.16</v>
      </c>
      <c r="AG90">
        <v>39.99</v>
      </c>
      <c r="AH90">
        <v>70.16</v>
      </c>
      <c r="AI90">
        <v>0</v>
      </c>
      <c r="AJ90">
        <v>0.62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57</v>
      </c>
      <c r="AR90">
        <v>57</v>
      </c>
      <c r="AS90">
        <v>17.010000000000002</v>
      </c>
      <c r="AT90">
        <v>0</v>
      </c>
      <c r="AU90">
        <v>39.99</v>
      </c>
      <c r="AV90">
        <v>70.16</v>
      </c>
    </row>
    <row r="91" spans="1:48" hidden="1" x14ac:dyDescent="0.2">
      <c r="A91">
        <v>102</v>
      </c>
      <c r="B91" t="s">
        <v>192</v>
      </c>
      <c r="C91" t="s">
        <v>193</v>
      </c>
      <c r="D91" t="s">
        <v>194</v>
      </c>
      <c r="E91" t="s">
        <v>195</v>
      </c>
      <c r="F91">
        <v>61</v>
      </c>
      <c r="G91" t="s">
        <v>297</v>
      </c>
      <c r="H91" t="s">
        <v>68</v>
      </c>
      <c r="I91" t="s">
        <v>69</v>
      </c>
      <c r="J91" s="2" t="s">
        <v>298</v>
      </c>
      <c r="K91" t="s">
        <v>299</v>
      </c>
      <c r="L91" s="2" t="s">
        <v>86</v>
      </c>
      <c r="M91" s="1">
        <v>46008</v>
      </c>
      <c r="N91" s="1">
        <v>46030</v>
      </c>
      <c r="O91" s="1">
        <v>46022</v>
      </c>
      <c r="Q91">
        <v>0</v>
      </c>
      <c r="R91">
        <v>0</v>
      </c>
      <c r="S91">
        <v>0</v>
      </c>
      <c r="T91" s="2">
        <v>0</v>
      </c>
      <c r="U91" s="2">
        <v>0</v>
      </c>
      <c r="V91" s="2">
        <v>0</v>
      </c>
      <c r="W91" s="2">
        <v>180.79</v>
      </c>
      <c r="X91">
        <v>0</v>
      </c>
      <c r="Y91">
        <v>47.86</v>
      </c>
      <c r="Z91">
        <v>0</v>
      </c>
      <c r="AA91">
        <v>22.3</v>
      </c>
      <c r="AB91">
        <v>0.78</v>
      </c>
      <c r="AC91">
        <v>1.26</v>
      </c>
      <c r="AD91" s="2">
        <v>72.2</v>
      </c>
      <c r="AE91">
        <v>108.59</v>
      </c>
      <c r="AF91">
        <v>60.06</v>
      </c>
      <c r="AG91">
        <v>108.59</v>
      </c>
      <c r="AH91">
        <v>60.06</v>
      </c>
      <c r="AI91">
        <v>0</v>
      </c>
      <c r="AJ91">
        <v>0.9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180.79</v>
      </c>
      <c r="AR91">
        <v>180.79</v>
      </c>
      <c r="AS91">
        <v>72.2</v>
      </c>
      <c r="AT91">
        <v>0</v>
      </c>
      <c r="AU91">
        <v>108.59</v>
      </c>
      <c r="AV91">
        <v>60.06</v>
      </c>
    </row>
    <row r="92" spans="1:48" hidden="1" x14ac:dyDescent="0.2">
      <c r="A92">
        <v>102</v>
      </c>
      <c r="B92" t="s">
        <v>192</v>
      </c>
      <c r="C92" t="s">
        <v>193</v>
      </c>
      <c r="D92" t="s">
        <v>194</v>
      </c>
      <c r="E92" t="s">
        <v>195</v>
      </c>
      <c r="F92">
        <v>69</v>
      </c>
      <c r="G92" t="s">
        <v>300</v>
      </c>
      <c r="H92" t="s">
        <v>68</v>
      </c>
      <c r="I92" t="s">
        <v>69</v>
      </c>
      <c r="J92" s="2" t="s">
        <v>301</v>
      </c>
      <c r="K92" t="s">
        <v>302</v>
      </c>
      <c r="L92" s="2" t="s">
        <v>86</v>
      </c>
      <c r="M92" s="1">
        <v>46000</v>
      </c>
      <c r="N92" s="1">
        <v>46030</v>
      </c>
      <c r="O92" s="1">
        <v>46022</v>
      </c>
      <c r="Q92">
        <v>0</v>
      </c>
      <c r="R92">
        <v>0</v>
      </c>
      <c r="S92">
        <v>0</v>
      </c>
      <c r="T92" s="2">
        <v>0</v>
      </c>
      <c r="U92" s="2">
        <v>0</v>
      </c>
      <c r="V92" s="2">
        <v>0</v>
      </c>
      <c r="W92" s="2">
        <v>250.91</v>
      </c>
      <c r="X92">
        <v>0</v>
      </c>
      <c r="Y92">
        <v>131.66999999999999</v>
      </c>
      <c r="Z92">
        <v>0</v>
      </c>
      <c r="AA92">
        <v>28.49</v>
      </c>
      <c r="AB92">
        <v>70.87</v>
      </c>
      <c r="AC92">
        <v>4.28</v>
      </c>
      <c r="AD92" s="2">
        <v>235.31</v>
      </c>
      <c r="AE92">
        <v>15.6</v>
      </c>
      <c r="AF92">
        <v>6.22</v>
      </c>
      <c r="AG92">
        <v>15.6</v>
      </c>
      <c r="AH92">
        <v>6.22</v>
      </c>
      <c r="AI92">
        <v>0</v>
      </c>
      <c r="AJ92">
        <v>2.67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250.91</v>
      </c>
      <c r="AR92">
        <v>250.91</v>
      </c>
      <c r="AS92">
        <v>235.31</v>
      </c>
      <c r="AT92">
        <v>0</v>
      </c>
      <c r="AU92">
        <v>15.6</v>
      </c>
      <c r="AV92">
        <v>6.22</v>
      </c>
    </row>
    <row r="93" spans="1:48" hidden="1" x14ac:dyDescent="0.2">
      <c r="A93">
        <v>102</v>
      </c>
      <c r="B93" t="s">
        <v>192</v>
      </c>
      <c r="C93" t="s">
        <v>193</v>
      </c>
      <c r="D93" t="s">
        <v>194</v>
      </c>
      <c r="E93" t="s">
        <v>195</v>
      </c>
      <c r="F93">
        <v>69</v>
      </c>
      <c r="G93" t="s">
        <v>300</v>
      </c>
      <c r="H93" t="s">
        <v>68</v>
      </c>
      <c r="I93" t="s">
        <v>69</v>
      </c>
      <c r="J93" s="2" t="s">
        <v>303</v>
      </c>
      <c r="K93" t="s">
        <v>304</v>
      </c>
      <c r="L93" s="2" t="s">
        <v>63</v>
      </c>
      <c r="M93" s="1">
        <v>46011</v>
      </c>
      <c r="N93" t="s">
        <v>64</v>
      </c>
      <c r="O93" t="s">
        <v>64</v>
      </c>
      <c r="Q93">
        <v>0</v>
      </c>
      <c r="R93">
        <v>0</v>
      </c>
      <c r="S93">
        <v>0</v>
      </c>
      <c r="T93" s="2">
        <v>216.98</v>
      </c>
      <c r="U93" s="2">
        <v>0</v>
      </c>
      <c r="V93" s="2">
        <v>0</v>
      </c>
      <c r="W93" s="2">
        <v>0</v>
      </c>
      <c r="X93">
        <v>198.85</v>
      </c>
      <c r="Y93">
        <v>25.25</v>
      </c>
      <c r="Z93">
        <v>0</v>
      </c>
      <c r="AA93">
        <v>75.989999999999995</v>
      </c>
      <c r="AB93">
        <v>157.55000000000001</v>
      </c>
      <c r="AC93">
        <v>3.34</v>
      </c>
      <c r="AD93" s="2">
        <v>262.13</v>
      </c>
      <c r="AE93">
        <v>-262.13</v>
      </c>
      <c r="AF93">
        <v>0</v>
      </c>
      <c r="AG93">
        <v>-244</v>
      </c>
      <c r="AH93">
        <v>-112.45</v>
      </c>
      <c r="AI93">
        <v>0</v>
      </c>
      <c r="AJ93">
        <v>6.63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262.13</v>
      </c>
      <c r="AT93">
        <v>0</v>
      </c>
      <c r="AU93">
        <v>-262.13</v>
      </c>
      <c r="AV93">
        <v>0</v>
      </c>
    </row>
    <row r="94" spans="1:48" hidden="1" x14ac:dyDescent="0.2">
      <c r="A94">
        <v>102</v>
      </c>
      <c r="B94" t="s">
        <v>192</v>
      </c>
      <c r="C94" t="s">
        <v>193</v>
      </c>
      <c r="D94" t="s">
        <v>194</v>
      </c>
      <c r="E94" t="s">
        <v>195</v>
      </c>
      <c r="F94">
        <v>70</v>
      </c>
      <c r="G94" t="s">
        <v>305</v>
      </c>
      <c r="H94" t="s">
        <v>68</v>
      </c>
      <c r="I94" t="s">
        <v>69</v>
      </c>
      <c r="J94" s="2" t="s">
        <v>306</v>
      </c>
      <c r="K94" t="s">
        <v>307</v>
      </c>
      <c r="L94" s="2" t="s">
        <v>86</v>
      </c>
      <c r="M94" s="1">
        <v>46009</v>
      </c>
      <c r="N94" s="1">
        <v>46029</v>
      </c>
      <c r="O94" s="1">
        <v>46022</v>
      </c>
      <c r="Q94">
        <v>0</v>
      </c>
      <c r="R94">
        <v>0</v>
      </c>
      <c r="S94">
        <v>0</v>
      </c>
      <c r="T94" s="2">
        <v>0</v>
      </c>
      <c r="U94" s="2">
        <v>0</v>
      </c>
      <c r="V94" s="2">
        <v>0</v>
      </c>
      <c r="W94" s="2">
        <v>74</v>
      </c>
      <c r="X94">
        <v>0</v>
      </c>
      <c r="Y94">
        <v>0</v>
      </c>
      <c r="Z94">
        <v>0</v>
      </c>
      <c r="AA94">
        <v>19.82</v>
      </c>
      <c r="AB94">
        <v>31.1</v>
      </c>
      <c r="AC94">
        <v>0</v>
      </c>
      <c r="AD94" s="2">
        <v>50.92</v>
      </c>
      <c r="AE94">
        <v>23.08</v>
      </c>
      <c r="AF94">
        <v>31.19</v>
      </c>
      <c r="AG94">
        <v>23.08</v>
      </c>
      <c r="AH94">
        <v>31.19</v>
      </c>
      <c r="AI94">
        <v>0</v>
      </c>
      <c r="AJ94">
        <v>1.67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74</v>
      </c>
      <c r="AR94">
        <v>74</v>
      </c>
      <c r="AS94">
        <v>50.92</v>
      </c>
      <c r="AT94">
        <v>0</v>
      </c>
      <c r="AU94">
        <v>23.08</v>
      </c>
      <c r="AV94">
        <v>31.19</v>
      </c>
    </row>
    <row r="95" spans="1:48" hidden="1" x14ac:dyDescent="0.2">
      <c r="A95">
        <v>102</v>
      </c>
      <c r="B95" t="s">
        <v>192</v>
      </c>
      <c r="C95" t="s">
        <v>193</v>
      </c>
      <c r="D95" t="s">
        <v>194</v>
      </c>
      <c r="E95" t="s">
        <v>195</v>
      </c>
      <c r="F95">
        <v>70</v>
      </c>
      <c r="G95" t="s">
        <v>305</v>
      </c>
      <c r="H95" t="s">
        <v>68</v>
      </c>
      <c r="I95" t="s">
        <v>69</v>
      </c>
      <c r="J95" s="2" t="s">
        <v>308</v>
      </c>
      <c r="K95" t="s">
        <v>309</v>
      </c>
      <c r="L95" s="2" t="s">
        <v>86</v>
      </c>
      <c r="M95" s="1">
        <v>46021</v>
      </c>
      <c r="N95" s="1">
        <v>46034</v>
      </c>
      <c r="O95" s="1">
        <v>46022</v>
      </c>
      <c r="Q95">
        <v>0</v>
      </c>
      <c r="R95">
        <v>0</v>
      </c>
      <c r="S95">
        <v>0</v>
      </c>
      <c r="T95" s="2">
        <v>0</v>
      </c>
      <c r="U95" s="2">
        <v>0</v>
      </c>
      <c r="V95" s="2">
        <v>0</v>
      </c>
      <c r="W95" s="2">
        <v>125</v>
      </c>
      <c r="X95">
        <v>0</v>
      </c>
      <c r="Y95">
        <v>0</v>
      </c>
      <c r="Z95">
        <v>0</v>
      </c>
      <c r="AA95">
        <v>62.36</v>
      </c>
      <c r="AB95">
        <v>53.58</v>
      </c>
      <c r="AC95">
        <v>0</v>
      </c>
      <c r="AD95" s="2">
        <v>115.94</v>
      </c>
      <c r="AE95">
        <v>9.06</v>
      </c>
      <c r="AF95">
        <v>7.25</v>
      </c>
      <c r="AG95">
        <v>9.06</v>
      </c>
      <c r="AH95">
        <v>7.25</v>
      </c>
      <c r="AI95">
        <v>0</v>
      </c>
      <c r="AJ95">
        <v>3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125</v>
      </c>
      <c r="AR95">
        <v>125</v>
      </c>
      <c r="AS95">
        <v>115.94</v>
      </c>
      <c r="AT95">
        <v>0</v>
      </c>
      <c r="AU95">
        <v>9.06</v>
      </c>
      <c r="AV95">
        <v>7.25</v>
      </c>
    </row>
    <row r="96" spans="1:48" hidden="1" x14ac:dyDescent="0.2">
      <c r="A96">
        <v>102</v>
      </c>
      <c r="B96" t="s">
        <v>192</v>
      </c>
      <c r="C96" t="s">
        <v>193</v>
      </c>
      <c r="D96" t="s">
        <v>194</v>
      </c>
      <c r="E96" t="s">
        <v>195</v>
      </c>
      <c r="F96">
        <v>71</v>
      </c>
      <c r="G96" t="s">
        <v>310</v>
      </c>
      <c r="H96" t="s">
        <v>68</v>
      </c>
      <c r="I96" t="s">
        <v>69</v>
      </c>
      <c r="J96" s="2" t="s">
        <v>311</v>
      </c>
      <c r="K96" t="s">
        <v>312</v>
      </c>
      <c r="L96" s="2" t="s">
        <v>63</v>
      </c>
      <c r="M96" s="1">
        <v>46008</v>
      </c>
      <c r="N96" t="s">
        <v>64</v>
      </c>
      <c r="O96" t="s">
        <v>64</v>
      </c>
      <c r="Q96">
        <v>0</v>
      </c>
      <c r="R96">
        <v>0</v>
      </c>
      <c r="S96">
        <v>0</v>
      </c>
      <c r="T96" s="2">
        <v>130.30000000000001</v>
      </c>
      <c r="U96" s="2">
        <v>0</v>
      </c>
      <c r="V96" s="2">
        <v>0</v>
      </c>
      <c r="W96" s="2">
        <v>0</v>
      </c>
      <c r="X96">
        <v>0</v>
      </c>
      <c r="Y96">
        <v>20.67</v>
      </c>
      <c r="Z96">
        <v>0</v>
      </c>
      <c r="AA96">
        <v>23.13</v>
      </c>
      <c r="AB96">
        <v>17.25</v>
      </c>
      <c r="AC96">
        <v>0</v>
      </c>
      <c r="AD96" s="2">
        <v>61.05</v>
      </c>
      <c r="AE96">
        <v>-61.05</v>
      </c>
      <c r="AF96">
        <v>0</v>
      </c>
      <c r="AG96">
        <v>69.25</v>
      </c>
      <c r="AH96">
        <v>53.15</v>
      </c>
      <c r="AI96">
        <v>0</v>
      </c>
      <c r="AJ96">
        <v>1.28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61.05</v>
      </c>
      <c r="AT96">
        <v>0</v>
      </c>
      <c r="AU96">
        <v>-61.05</v>
      </c>
      <c r="AV96">
        <v>0</v>
      </c>
    </row>
    <row r="97" spans="1:48" hidden="1" x14ac:dyDescent="0.2">
      <c r="A97">
        <v>102</v>
      </c>
      <c r="B97" t="s">
        <v>192</v>
      </c>
      <c r="C97" t="s">
        <v>193</v>
      </c>
      <c r="D97" t="s">
        <v>194</v>
      </c>
      <c r="E97" t="s">
        <v>195</v>
      </c>
      <c r="F97">
        <v>74</v>
      </c>
      <c r="G97" t="s">
        <v>313</v>
      </c>
      <c r="H97" t="s">
        <v>68</v>
      </c>
      <c r="I97" t="s">
        <v>69</v>
      </c>
      <c r="J97" s="2" t="s">
        <v>314</v>
      </c>
      <c r="K97" t="s">
        <v>315</v>
      </c>
      <c r="L97" s="2" t="s">
        <v>86</v>
      </c>
      <c r="M97" s="1">
        <v>45987</v>
      </c>
      <c r="N97" s="1">
        <v>46033</v>
      </c>
      <c r="O97" s="1">
        <v>46022</v>
      </c>
      <c r="Q97">
        <v>0</v>
      </c>
      <c r="R97">
        <v>0</v>
      </c>
      <c r="S97">
        <v>0</v>
      </c>
      <c r="T97" s="2">
        <v>0</v>
      </c>
      <c r="U97" s="2">
        <v>0</v>
      </c>
      <c r="V97" s="2">
        <v>0</v>
      </c>
      <c r="W97" s="2">
        <v>159</v>
      </c>
      <c r="X97">
        <v>0</v>
      </c>
      <c r="Y97">
        <v>0</v>
      </c>
      <c r="Z97">
        <v>0</v>
      </c>
      <c r="AA97">
        <v>69.17</v>
      </c>
      <c r="AB97">
        <v>3.12</v>
      </c>
      <c r="AC97">
        <v>3.88</v>
      </c>
      <c r="AD97" s="2">
        <v>76.17</v>
      </c>
      <c r="AE97">
        <v>82.83</v>
      </c>
      <c r="AF97">
        <v>52.09</v>
      </c>
      <c r="AG97">
        <v>82.83</v>
      </c>
      <c r="AH97">
        <v>52.09</v>
      </c>
      <c r="AI97">
        <v>0</v>
      </c>
      <c r="AJ97">
        <v>3.3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159</v>
      </c>
      <c r="AR97">
        <v>159</v>
      </c>
      <c r="AS97">
        <v>76.17</v>
      </c>
      <c r="AT97">
        <v>0</v>
      </c>
      <c r="AU97">
        <v>82.83</v>
      </c>
      <c r="AV97">
        <v>52.09</v>
      </c>
    </row>
    <row r="98" spans="1:48" hidden="1" x14ac:dyDescent="0.2">
      <c r="A98">
        <v>102</v>
      </c>
      <c r="B98" t="s">
        <v>192</v>
      </c>
      <c r="C98" t="s">
        <v>193</v>
      </c>
      <c r="D98" t="s">
        <v>194</v>
      </c>
      <c r="E98" t="s">
        <v>195</v>
      </c>
      <c r="F98">
        <v>74</v>
      </c>
      <c r="G98" t="s">
        <v>313</v>
      </c>
      <c r="H98" t="s">
        <v>68</v>
      </c>
      <c r="I98" t="s">
        <v>69</v>
      </c>
      <c r="J98" s="2" t="s">
        <v>316</v>
      </c>
      <c r="K98" t="s">
        <v>317</v>
      </c>
      <c r="L98" s="2" t="s">
        <v>86</v>
      </c>
      <c r="M98" s="1">
        <v>46007</v>
      </c>
      <c r="N98" s="1">
        <v>46030</v>
      </c>
      <c r="O98" s="1">
        <v>46022</v>
      </c>
      <c r="Q98">
        <v>0</v>
      </c>
      <c r="R98">
        <v>0</v>
      </c>
      <c r="S98">
        <v>0</v>
      </c>
      <c r="T98" s="2">
        <v>0</v>
      </c>
      <c r="U98" s="2">
        <v>0</v>
      </c>
      <c r="V98" s="2">
        <v>0</v>
      </c>
      <c r="W98" s="2">
        <v>57</v>
      </c>
      <c r="X98">
        <v>0</v>
      </c>
      <c r="Y98">
        <v>0</v>
      </c>
      <c r="Z98">
        <v>0</v>
      </c>
      <c r="AA98">
        <v>12.39</v>
      </c>
      <c r="AB98">
        <v>26.63</v>
      </c>
      <c r="AC98">
        <v>1.4</v>
      </c>
      <c r="AD98" s="2">
        <v>40.42</v>
      </c>
      <c r="AE98">
        <v>16.579999999999998</v>
      </c>
      <c r="AF98">
        <v>29.09</v>
      </c>
      <c r="AG98">
        <v>16.579999999999998</v>
      </c>
      <c r="AH98">
        <v>29.09</v>
      </c>
      <c r="AI98">
        <v>0</v>
      </c>
      <c r="AJ98">
        <v>1.05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57</v>
      </c>
      <c r="AR98">
        <v>57</v>
      </c>
      <c r="AS98">
        <v>40.42</v>
      </c>
      <c r="AT98">
        <v>0</v>
      </c>
      <c r="AU98">
        <v>16.579999999999998</v>
      </c>
      <c r="AV98">
        <v>29.09</v>
      </c>
    </row>
    <row r="99" spans="1:48" hidden="1" x14ac:dyDescent="0.2">
      <c r="A99">
        <v>102</v>
      </c>
      <c r="B99" t="s">
        <v>192</v>
      </c>
      <c r="C99" t="s">
        <v>193</v>
      </c>
      <c r="D99" t="s">
        <v>194</v>
      </c>
      <c r="E99" t="s">
        <v>195</v>
      </c>
      <c r="F99">
        <v>74</v>
      </c>
      <c r="G99" t="s">
        <v>313</v>
      </c>
      <c r="H99" t="s">
        <v>68</v>
      </c>
      <c r="I99" t="s">
        <v>69</v>
      </c>
      <c r="J99" s="2" t="s">
        <v>318</v>
      </c>
      <c r="K99" t="s">
        <v>319</v>
      </c>
      <c r="L99" s="2" t="s">
        <v>86</v>
      </c>
      <c r="M99" s="1">
        <v>46008</v>
      </c>
      <c r="N99" s="1">
        <v>46029</v>
      </c>
      <c r="O99" s="1">
        <v>46022</v>
      </c>
      <c r="Q99">
        <v>0</v>
      </c>
      <c r="R99">
        <v>0</v>
      </c>
      <c r="S99">
        <v>0</v>
      </c>
      <c r="T99" s="2">
        <v>0</v>
      </c>
      <c r="U99" s="2">
        <v>0</v>
      </c>
      <c r="V99" s="2">
        <v>0</v>
      </c>
      <c r="W99" s="2">
        <v>86</v>
      </c>
      <c r="X99">
        <v>0</v>
      </c>
      <c r="Y99">
        <v>5.37</v>
      </c>
      <c r="Z99">
        <v>0</v>
      </c>
      <c r="AA99">
        <v>22.71</v>
      </c>
      <c r="AB99">
        <v>13.51</v>
      </c>
      <c r="AC99">
        <v>0</v>
      </c>
      <c r="AD99" s="2">
        <v>41.59</v>
      </c>
      <c r="AE99">
        <v>44.41</v>
      </c>
      <c r="AF99">
        <v>51.64</v>
      </c>
      <c r="AG99">
        <v>44.41</v>
      </c>
      <c r="AH99">
        <v>51.64</v>
      </c>
      <c r="AI99">
        <v>0</v>
      </c>
      <c r="AJ99">
        <v>1.29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86</v>
      </c>
      <c r="AR99">
        <v>86</v>
      </c>
      <c r="AS99">
        <v>41.59</v>
      </c>
      <c r="AT99">
        <v>0</v>
      </c>
      <c r="AU99">
        <v>44.41</v>
      </c>
      <c r="AV99">
        <v>51.64</v>
      </c>
    </row>
    <row r="100" spans="1:48" hidden="1" x14ac:dyDescent="0.2">
      <c r="A100">
        <v>102</v>
      </c>
      <c r="B100" t="s">
        <v>192</v>
      </c>
      <c r="C100" t="s">
        <v>193</v>
      </c>
      <c r="D100" t="s">
        <v>194</v>
      </c>
      <c r="E100" t="s">
        <v>195</v>
      </c>
      <c r="F100">
        <v>83</v>
      </c>
      <c r="G100" t="s">
        <v>320</v>
      </c>
      <c r="H100" t="s">
        <v>68</v>
      </c>
      <c r="I100" t="s">
        <v>69</v>
      </c>
      <c r="J100" s="2" t="s">
        <v>321</v>
      </c>
      <c r="K100" t="s">
        <v>322</v>
      </c>
      <c r="L100" s="2" t="s">
        <v>86</v>
      </c>
      <c r="M100" s="1">
        <v>46003</v>
      </c>
      <c r="N100" s="1">
        <v>46029</v>
      </c>
      <c r="O100" s="1">
        <v>46022</v>
      </c>
      <c r="Q100">
        <v>0</v>
      </c>
      <c r="R100">
        <v>0</v>
      </c>
      <c r="S100">
        <v>0</v>
      </c>
      <c r="T100" s="2">
        <v>0</v>
      </c>
      <c r="U100" s="2">
        <v>0</v>
      </c>
      <c r="V100" s="2">
        <v>0</v>
      </c>
      <c r="W100" s="2">
        <v>251</v>
      </c>
      <c r="X100">
        <v>2.02</v>
      </c>
      <c r="Y100">
        <v>122.26</v>
      </c>
      <c r="Z100">
        <v>0</v>
      </c>
      <c r="AA100">
        <v>21.48</v>
      </c>
      <c r="AB100">
        <v>53.84</v>
      </c>
      <c r="AC100">
        <v>0</v>
      </c>
      <c r="AD100" s="2">
        <v>197.58</v>
      </c>
      <c r="AE100">
        <v>53.42</v>
      </c>
      <c r="AF100">
        <v>21.28</v>
      </c>
      <c r="AG100">
        <v>51.4</v>
      </c>
      <c r="AH100">
        <v>20.48</v>
      </c>
      <c r="AI100">
        <v>0</v>
      </c>
      <c r="AJ100">
        <v>1.36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251</v>
      </c>
      <c r="AR100">
        <v>251</v>
      </c>
      <c r="AS100">
        <v>197.58</v>
      </c>
      <c r="AT100">
        <v>0</v>
      </c>
      <c r="AU100">
        <v>53.42</v>
      </c>
      <c r="AV100">
        <v>21.28</v>
      </c>
    </row>
    <row r="101" spans="1:48" hidden="1" x14ac:dyDescent="0.2">
      <c r="A101">
        <v>102</v>
      </c>
      <c r="B101" t="s">
        <v>192</v>
      </c>
      <c r="C101" t="s">
        <v>193</v>
      </c>
      <c r="D101" t="s">
        <v>194</v>
      </c>
      <c r="E101" t="s">
        <v>195</v>
      </c>
      <c r="F101">
        <v>83</v>
      </c>
      <c r="G101" t="s">
        <v>320</v>
      </c>
      <c r="H101" t="s">
        <v>68</v>
      </c>
      <c r="I101" t="s">
        <v>69</v>
      </c>
      <c r="J101" s="2" t="s">
        <v>323</v>
      </c>
      <c r="K101" t="s">
        <v>324</v>
      </c>
      <c r="L101" s="2" t="s">
        <v>86</v>
      </c>
      <c r="M101" s="1">
        <v>46006</v>
      </c>
      <c r="N101" s="1">
        <v>46029</v>
      </c>
      <c r="O101" s="1">
        <v>46022</v>
      </c>
      <c r="Q101">
        <v>0</v>
      </c>
      <c r="R101">
        <v>0</v>
      </c>
      <c r="S101">
        <v>0</v>
      </c>
      <c r="T101" s="2">
        <v>0</v>
      </c>
      <c r="U101" s="2">
        <v>0</v>
      </c>
      <c r="V101" s="2">
        <v>0</v>
      </c>
      <c r="W101" s="2">
        <v>57</v>
      </c>
      <c r="X101">
        <v>0</v>
      </c>
      <c r="Y101">
        <v>0</v>
      </c>
      <c r="Z101">
        <v>0</v>
      </c>
      <c r="AA101">
        <v>9.91</v>
      </c>
      <c r="AB101">
        <v>37.99</v>
      </c>
      <c r="AC101">
        <v>1.4</v>
      </c>
      <c r="AD101" s="2">
        <v>49.3</v>
      </c>
      <c r="AE101">
        <v>7.7</v>
      </c>
      <c r="AF101">
        <v>13.51</v>
      </c>
      <c r="AG101">
        <v>7.7</v>
      </c>
      <c r="AH101">
        <v>13.51</v>
      </c>
      <c r="AI101">
        <v>0</v>
      </c>
      <c r="AJ101">
        <v>1.08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57</v>
      </c>
      <c r="AR101">
        <v>57</v>
      </c>
      <c r="AS101">
        <v>49.3</v>
      </c>
      <c r="AT101">
        <v>0</v>
      </c>
      <c r="AU101">
        <v>7.7</v>
      </c>
      <c r="AV101">
        <v>13.51</v>
      </c>
    </row>
    <row r="102" spans="1:48" hidden="1" x14ac:dyDescent="0.2">
      <c r="A102">
        <v>102</v>
      </c>
      <c r="B102" t="s">
        <v>192</v>
      </c>
      <c r="C102" t="s">
        <v>193</v>
      </c>
      <c r="D102" t="s">
        <v>194</v>
      </c>
      <c r="E102" t="s">
        <v>195</v>
      </c>
      <c r="F102">
        <v>83</v>
      </c>
      <c r="G102" t="s">
        <v>320</v>
      </c>
      <c r="H102" t="s">
        <v>68</v>
      </c>
      <c r="I102" t="s">
        <v>69</v>
      </c>
      <c r="J102" s="2" t="s">
        <v>325</v>
      </c>
      <c r="K102" t="s">
        <v>326</v>
      </c>
      <c r="L102" s="2" t="s">
        <v>86</v>
      </c>
      <c r="M102" s="1">
        <v>46017</v>
      </c>
      <c r="N102" s="1">
        <v>46031</v>
      </c>
      <c r="O102" s="1">
        <v>46022</v>
      </c>
      <c r="Q102">
        <v>0</v>
      </c>
      <c r="R102">
        <v>0</v>
      </c>
      <c r="S102">
        <v>0</v>
      </c>
      <c r="T102" s="2">
        <v>0</v>
      </c>
      <c r="U102" s="2">
        <v>0</v>
      </c>
      <c r="V102" s="2">
        <v>0</v>
      </c>
      <c r="W102" s="2">
        <v>1622.3</v>
      </c>
      <c r="X102">
        <v>0</v>
      </c>
      <c r="Y102">
        <v>612.27</v>
      </c>
      <c r="Z102">
        <v>0</v>
      </c>
      <c r="AA102">
        <v>283.7</v>
      </c>
      <c r="AB102">
        <v>105.11</v>
      </c>
      <c r="AC102">
        <v>18.02</v>
      </c>
      <c r="AD102" s="2">
        <v>1019.1</v>
      </c>
      <c r="AE102">
        <v>603.20000000000005</v>
      </c>
      <c r="AF102">
        <v>37.18</v>
      </c>
      <c r="AG102">
        <v>603.20000000000005</v>
      </c>
      <c r="AH102">
        <v>37.18</v>
      </c>
      <c r="AI102">
        <v>0</v>
      </c>
      <c r="AJ102">
        <v>14.19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1622.3</v>
      </c>
      <c r="AR102">
        <v>1622.3</v>
      </c>
      <c r="AS102">
        <v>1019.1</v>
      </c>
      <c r="AT102">
        <v>0</v>
      </c>
      <c r="AU102">
        <v>603.20000000000005</v>
      </c>
      <c r="AV102">
        <v>37.18</v>
      </c>
    </row>
    <row r="103" spans="1:48" hidden="1" x14ac:dyDescent="0.2">
      <c r="A103">
        <v>102</v>
      </c>
      <c r="B103" t="s">
        <v>192</v>
      </c>
      <c r="C103" t="s">
        <v>193</v>
      </c>
      <c r="D103" t="s">
        <v>194</v>
      </c>
      <c r="E103" t="s">
        <v>195</v>
      </c>
      <c r="F103">
        <v>88</v>
      </c>
      <c r="G103" t="s">
        <v>327</v>
      </c>
      <c r="H103" t="s">
        <v>68</v>
      </c>
      <c r="I103" t="s">
        <v>69</v>
      </c>
      <c r="J103" s="2" t="s">
        <v>328</v>
      </c>
      <c r="K103" t="s">
        <v>329</v>
      </c>
      <c r="L103" s="2" t="s">
        <v>86</v>
      </c>
      <c r="M103" s="1">
        <v>46000</v>
      </c>
      <c r="N103" s="1">
        <v>46029</v>
      </c>
      <c r="O103" s="1">
        <v>46022</v>
      </c>
      <c r="Q103">
        <v>0</v>
      </c>
      <c r="R103">
        <v>0</v>
      </c>
      <c r="S103">
        <v>0</v>
      </c>
      <c r="T103" s="2">
        <v>0</v>
      </c>
      <c r="U103" s="2">
        <v>0</v>
      </c>
      <c r="V103" s="2">
        <v>0</v>
      </c>
      <c r="W103" s="2">
        <v>105</v>
      </c>
      <c r="X103">
        <v>1.66</v>
      </c>
      <c r="Y103">
        <v>0</v>
      </c>
      <c r="Z103">
        <v>0</v>
      </c>
      <c r="AA103">
        <v>25.61</v>
      </c>
      <c r="AB103">
        <v>11.33</v>
      </c>
      <c r="AC103">
        <v>0</v>
      </c>
      <c r="AD103" s="2">
        <v>36.94</v>
      </c>
      <c r="AE103">
        <v>68.06</v>
      </c>
      <c r="AF103">
        <v>64.819999999999993</v>
      </c>
      <c r="AG103">
        <v>66.400000000000006</v>
      </c>
      <c r="AH103">
        <v>63.24</v>
      </c>
      <c r="AI103">
        <v>0</v>
      </c>
      <c r="AJ103">
        <v>1.33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105</v>
      </c>
      <c r="AR103">
        <v>105</v>
      </c>
      <c r="AS103">
        <v>36.94</v>
      </c>
      <c r="AT103">
        <v>0</v>
      </c>
      <c r="AU103">
        <v>68.06</v>
      </c>
      <c r="AV103">
        <v>64.819999999999993</v>
      </c>
    </row>
    <row r="104" spans="1:48" hidden="1" x14ac:dyDescent="0.2">
      <c r="A104">
        <v>102</v>
      </c>
      <c r="B104" t="s">
        <v>192</v>
      </c>
      <c r="C104" t="s">
        <v>193</v>
      </c>
      <c r="D104" t="s">
        <v>194</v>
      </c>
      <c r="E104" t="s">
        <v>195</v>
      </c>
      <c r="F104">
        <v>88</v>
      </c>
      <c r="G104" t="s">
        <v>327</v>
      </c>
      <c r="H104" t="s">
        <v>68</v>
      </c>
      <c r="I104" t="s">
        <v>69</v>
      </c>
      <c r="J104" s="2" t="s">
        <v>330</v>
      </c>
      <c r="K104" t="s">
        <v>331</v>
      </c>
      <c r="L104" s="2" t="s">
        <v>86</v>
      </c>
      <c r="M104" s="1">
        <v>46008</v>
      </c>
      <c r="N104" s="1">
        <v>46029</v>
      </c>
      <c r="O104" s="1">
        <v>46022</v>
      </c>
      <c r="Q104">
        <v>0</v>
      </c>
      <c r="R104">
        <v>0</v>
      </c>
      <c r="S104">
        <v>0</v>
      </c>
      <c r="T104" s="2">
        <v>0</v>
      </c>
      <c r="U104" s="2">
        <v>0</v>
      </c>
      <c r="V104" s="2">
        <v>0</v>
      </c>
      <c r="W104" s="2">
        <v>74</v>
      </c>
      <c r="X104">
        <v>0</v>
      </c>
      <c r="Y104">
        <v>0</v>
      </c>
      <c r="Z104">
        <v>0</v>
      </c>
      <c r="AA104">
        <v>17.350000000000001</v>
      </c>
      <c r="AB104">
        <v>20.69</v>
      </c>
      <c r="AC104">
        <v>0</v>
      </c>
      <c r="AD104" s="2">
        <v>38.04</v>
      </c>
      <c r="AE104">
        <v>35.96</v>
      </c>
      <c r="AF104">
        <v>48.59</v>
      </c>
      <c r="AG104">
        <v>35.96</v>
      </c>
      <c r="AH104">
        <v>48.59</v>
      </c>
      <c r="AI104">
        <v>0</v>
      </c>
      <c r="AJ104">
        <v>1.28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74</v>
      </c>
      <c r="AR104">
        <v>74</v>
      </c>
      <c r="AS104">
        <v>38.04</v>
      </c>
      <c r="AT104">
        <v>0</v>
      </c>
      <c r="AU104">
        <v>35.96</v>
      </c>
      <c r="AV104">
        <v>48.59</v>
      </c>
    </row>
    <row r="105" spans="1:48" hidden="1" x14ac:dyDescent="0.2">
      <c r="A105">
        <v>102</v>
      </c>
      <c r="B105" t="s">
        <v>192</v>
      </c>
      <c r="C105" t="s">
        <v>193</v>
      </c>
      <c r="D105" t="s">
        <v>194</v>
      </c>
      <c r="E105" t="s">
        <v>195</v>
      </c>
      <c r="F105">
        <v>89</v>
      </c>
      <c r="G105" t="s">
        <v>332</v>
      </c>
      <c r="H105" t="s">
        <v>68</v>
      </c>
      <c r="I105" t="s">
        <v>69</v>
      </c>
      <c r="J105" s="2" t="s">
        <v>333</v>
      </c>
      <c r="K105" t="s">
        <v>334</v>
      </c>
      <c r="L105" s="2" t="s">
        <v>86</v>
      </c>
      <c r="M105" s="1">
        <v>45992</v>
      </c>
      <c r="N105" s="1">
        <v>46029</v>
      </c>
      <c r="O105" s="1">
        <v>46022</v>
      </c>
      <c r="Q105">
        <v>0</v>
      </c>
      <c r="R105">
        <v>0</v>
      </c>
      <c r="S105">
        <v>0</v>
      </c>
      <c r="T105" s="2">
        <v>0</v>
      </c>
      <c r="U105" s="2">
        <v>0</v>
      </c>
      <c r="V105" s="2">
        <v>0</v>
      </c>
      <c r="W105" s="2">
        <v>91</v>
      </c>
      <c r="X105">
        <v>0</v>
      </c>
      <c r="Y105">
        <v>0</v>
      </c>
      <c r="Z105">
        <v>0</v>
      </c>
      <c r="AA105">
        <v>38</v>
      </c>
      <c r="AB105">
        <v>81.63</v>
      </c>
      <c r="AC105">
        <v>5.44</v>
      </c>
      <c r="AD105" s="2">
        <v>125.07</v>
      </c>
      <c r="AE105">
        <v>-34.07</v>
      </c>
      <c r="AF105">
        <v>-37.44</v>
      </c>
      <c r="AG105">
        <v>-34.07</v>
      </c>
      <c r="AH105">
        <v>-37.44</v>
      </c>
      <c r="AI105">
        <v>0</v>
      </c>
      <c r="AJ105">
        <v>3.32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91</v>
      </c>
      <c r="AR105">
        <v>91</v>
      </c>
      <c r="AS105">
        <v>125.07</v>
      </c>
      <c r="AT105">
        <v>0</v>
      </c>
      <c r="AU105">
        <v>-34.07</v>
      </c>
      <c r="AV105">
        <v>-37.44</v>
      </c>
    </row>
    <row r="106" spans="1:48" hidden="1" x14ac:dyDescent="0.2">
      <c r="A106">
        <v>102</v>
      </c>
      <c r="B106" t="s">
        <v>192</v>
      </c>
      <c r="C106" t="s">
        <v>193</v>
      </c>
      <c r="D106" t="s">
        <v>194</v>
      </c>
      <c r="E106" t="s">
        <v>195</v>
      </c>
      <c r="F106">
        <v>89</v>
      </c>
      <c r="G106" t="s">
        <v>332</v>
      </c>
      <c r="H106" t="s">
        <v>68</v>
      </c>
      <c r="I106" t="s">
        <v>69</v>
      </c>
      <c r="J106" s="2" t="s">
        <v>335</v>
      </c>
      <c r="K106" t="s">
        <v>336</v>
      </c>
      <c r="L106" s="2" t="s">
        <v>86</v>
      </c>
      <c r="M106" s="1">
        <v>46000</v>
      </c>
      <c r="N106" s="1">
        <v>46030</v>
      </c>
      <c r="O106" s="1">
        <v>46022</v>
      </c>
      <c r="Q106">
        <v>0</v>
      </c>
      <c r="R106">
        <v>0</v>
      </c>
      <c r="S106">
        <v>0</v>
      </c>
      <c r="T106" s="2">
        <v>0</v>
      </c>
      <c r="U106" s="2">
        <v>0</v>
      </c>
      <c r="V106" s="2">
        <v>0</v>
      </c>
      <c r="W106" s="2">
        <v>125</v>
      </c>
      <c r="X106">
        <v>0</v>
      </c>
      <c r="Y106">
        <v>0</v>
      </c>
      <c r="Z106">
        <v>0</v>
      </c>
      <c r="AA106">
        <v>57.4</v>
      </c>
      <c r="AB106">
        <v>30.97</v>
      </c>
      <c r="AC106">
        <v>4.76</v>
      </c>
      <c r="AD106" s="2">
        <v>93.13</v>
      </c>
      <c r="AE106">
        <v>31.87</v>
      </c>
      <c r="AF106">
        <v>25.5</v>
      </c>
      <c r="AG106">
        <v>31.87</v>
      </c>
      <c r="AH106">
        <v>25.5</v>
      </c>
      <c r="AI106">
        <v>0</v>
      </c>
      <c r="AJ106">
        <v>3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125</v>
      </c>
      <c r="AR106">
        <v>125</v>
      </c>
      <c r="AS106">
        <v>93.13</v>
      </c>
      <c r="AT106">
        <v>0</v>
      </c>
      <c r="AU106">
        <v>31.87</v>
      </c>
      <c r="AV106">
        <v>25.5</v>
      </c>
    </row>
    <row r="107" spans="1:48" hidden="1" x14ac:dyDescent="0.2">
      <c r="A107">
        <v>102</v>
      </c>
      <c r="B107" t="s">
        <v>192</v>
      </c>
      <c r="C107" t="s">
        <v>193</v>
      </c>
      <c r="D107" t="s">
        <v>194</v>
      </c>
      <c r="E107" t="s">
        <v>195</v>
      </c>
      <c r="F107">
        <v>91</v>
      </c>
      <c r="G107" t="s">
        <v>337</v>
      </c>
      <c r="H107" t="s">
        <v>68</v>
      </c>
      <c r="I107" t="s">
        <v>69</v>
      </c>
      <c r="J107" s="2" t="s">
        <v>338</v>
      </c>
      <c r="K107" t="s">
        <v>339</v>
      </c>
      <c r="L107" s="2" t="s">
        <v>86</v>
      </c>
      <c r="M107" s="1">
        <v>45972</v>
      </c>
      <c r="N107" s="1">
        <v>45995</v>
      </c>
      <c r="O107" s="1">
        <v>45991</v>
      </c>
      <c r="Q107">
        <v>0</v>
      </c>
      <c r="R107">
        <v>0</v>
      </c>
      <c r="S107">
        <v>0</v>
      </c>
      <c r="T107" s="2">
        <v>0</v>
      </c>
      <c r="U107" s="2">
        <v>0</v>
      </c>
      <c r="V107" s="2">
        <v>0</v>
      </c>
      <c r="W107" s="2">
        <v>0</v>
      </c>
      <c r="X107">
        <v>0</v>
      </c>
      <c r="Y107">
        <v>0</v>
      </c>
      <c r="Z107">
        <v>100</v>
      </c>
      <c r="AA107">
        <v>0</v>
      </c>
      <c r="AB107">
        <v>0</v>
      </c>
      <c r="AC107">
        <v>0</v>
      </c>
      <c r="AD107" s="2">
        <v>100</v>
      </c>
      <c r="AE107">
        <v>-100</v>
      </c>
      <c r="AF107">
        <v>0</v>
      </c>
      <c r="AG107">
        <v>-100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2734.95</v>
      </c>
      <c r="AS107">
        <v>1531.22</v>
      </c>
      <c r="AT107">
        <v>0</v>
      </c>
      <c r="AU107">
        <v>1203.73</v>
      </c>
      <c r="AV107">
        <v>44.01</v>
      </c>
    </row>
    <row r="108" spans="1:48" hidden="1" x14ac:dyDescent="0.2">
      <c r="A108">
        <v>102</v>
      </c>
      <c r="B108" t="s">
        <v>192</v>
      </c>
      <c r="C108" t="s">
        <v>193</v>
      </c>
      <c r="D108" t="s">
        <v>194</v>
      </c>
      <c r="E108" t="s">
        <v>195</v>
      </c>
      <c r="F108">
        <v>93</v>
      </c>
      <c r="G108" t="s">
        <v>340</v>
      </c>
      <c r="H108" t="s">
        <v>68</v>
      </c>
      <c r="I108" t="s">
        <v>69</v>
      </c>
      <c r="J108" s="2" t="s">
        <v>341</v>
      </c>
      <c r="K108" t="s">
        <v>342</v>
      </c>
      <c r="L108" s="2" t="s">
        <v>86</v>
      </c>
      <c r="M108" s="1">
        <v>46000</v>
      </c>
      <c r="N108" s="1">
        <v>46008</v>
      </c>
      <c r="O108" s="1">
        <v>46022</v>
      </c>
      <c r="Q108">
        <v>0</v>
      </c>
      <c r="R108">
        <v>0</v>
      </c>
      <c r="S108">
        <v>0</v>
      </c>
      <c r="T108" s="2">
        <v>0</v>
      </c>
      <c r="U108" s="2">
        <v>0</v>
      </c>
      <c r="V108" s="2">
        <v>0</v>
      </c>
      <c r="W108" s="2">
        <v>3172</v>
      </c>
      <c r="X108">
        <v>0</v>
      </c>
      <c r="Y108">
        <v>2177.15</v>
      </c>
      <c r="Z108">
        <v>0</v>
      </c>
      <c r="AA108">
        <v>35.93</v>
      </c>
      <c r="AB108">
        <v>122.3</v>
      </c>
      <c r="AC108">
        <v>3.92</v>
      </c>
      <c r="AD108" s="2">
        <v>2339.3000000000002</v>
      </c>
      <c r="AE108">
        <v>832.7</v>
      </c>
      <c r="AF108">
        <v>26.25</v>
      </c>
      <c r="AG108">
        <v>832.7</v>
      </c>
      <c r="AH108">
        <v>26.25</v>
      </c>
      <c r="AI108">
        <v>0</v>
      </c>
      <c r="AJ108">
        <v>3.5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3172</v>
      </c>
      <c r="AR108">
        <v>3172</v>
      </c>
      <c r="AS108">
        <v>2339.3000000000002</v>
      </c>
      <c r="AT108">
        <v>0</v>
      </c>
      <c r="AU108">
        <v>832.7</v>
      </c>
      <c r="AV108">
        <v>26.25</v>
      </c>
    </row>
    <row r="109" spans="1:48" hidden="1" x14ac:dyDescent="0.2">
      <c r="A109">
        <v>102</v>
      </c>
      <c r="B109" t="s">
        <v>192</v>
      </c>
      <c r="C109" t="s">
        <v>193</v>
      </c>
      <c r="D109" t="s">
        <v>194</v>
      </c>
      <c r="E109" t="s">
        <v>195</v>
      </c>
      <c r="F109">
        <v>100</v>
      </c>
      <c r="G109" t="s">
        <v>343</v>
      </c>
      <c r="H109" t="s">
        <v>68</v>
      </c>
      <c r="I109" t="s">
        <v>69</v>
      </c>
      <c r="J109" s="2" t="s">
        <v>344</v>
      </c>
      <c r="K109" t="s">
        <v>345</v>
      </c>
      <c r="L109" s="2" t="s">
        <v>86</v>
      </c>
      <c r="M109" s="1">
        <v>46000</v>
      </c>
      <c r="N109" s="1">
        <v>46030</v>
      </c>
      <c r="O109" s="1">
        <v>46022</v>
      </c>
      <c r="Q109">
        <v>0</v>
      </c>
      <c r="R109">
        <v>0</v>
      </c>
      <c r="S109">
        <v>0</v>
      </c>
      <c r="T109" s="2">
        <v>0</v>
      </c>
      <c r="U109" s="2">
        <v>0</v>
      </c>
      <c r="V109" s="2">
        <v>0</v>
      </c>
      <c r="W109" s="2">
        <v>121.58</v>
      </c>
      <c r="X109">
        <v>0</v>
      </c>
      <c r="Y109">
        <v>29.15</v>
      </c>
      <c r="Z109">
        <v>0</v>
      </c>
      <c r="AA109">
        <v>11.57</v>
      </c>
      <c r="AB109">
        <v>107.88</v>
      </c>
      <c r="AC109">
        <v>4.7300000000000004</v>
      </c>
      <c r="AD109" s="2">
        <v>153.33000000000001</v>
      </c>
      <c r="AE109">
        <v>-31.75</v>
      </c>
      <c r="AF109">
        <v>-26.11</v>
      </c>
      <c r="AG109">
        <v>-31.75</v>
      </c>
      <c r="AH109">
        <v>-26.11</v>
      </c>
      <c r="AI109">
        <v>0</v>
      </c>
      <c r="AJ109">
        <v>2.89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121.58</v>
      </c>
      <c r="AR109">
        <v>121.58</v>
      </c>
      <c r="AS109">
        <v>153.33000000000001</v>
      </c>
      <c r="AT109">
        <v>0</v>
      </c>
      <c r="AU109">
        <v>-31.75</v>
      </c>
      <c r="AV109">
        <v>-26.11</v>
      </c>
    </row>
    <row r="110" spans="1:48" hidden="1" x14ac:dyDescent="0.2">
      <c r="A110">
        <v>102</v>
      </c>
      <c r="B110" t="s">
        <v>192</v>
      </c>
      <c r="C110" t="s">
        <v>193</v>
      </c>
      <c r="D110" t="s">
        <v>194</v>
      </c>
      <c r="E110" t="s">
        <v>195</v>
      </c>
      <c r="F110">
        <v>104</v>
      </c>
      <c r="G110" t="s">
        <v>346</v>
      </c>
      <c r="H110" t="s">
        <v>68</v>
      </c>
      <c r="I110" t="s">
        <v>69</v>
      </c>
      <c r="J110" s="2" t="s">
        <v>347</v>
      </c>
      <c r="K110" t="s">
        <v>348</v>
      </c>
      <c r="L110" s="2" t="s">
        <v>63</v>
      </c>
      <c r="M110" s="1">
        <v>46008</v>
      </c>
      <c r="N110" t="s">
        <v>64</v>
      </c>
      <c r="O110" t="s">
        <v>64</v>
      </c>
      <c r="Q110">
        <v>0</v>
      </c>
      <c r="R110">
        <v>0</v>
      </c>
      <c r="S110">
        <v>0</v>
      </c>
      <c r="T110" s="2">
        <v>57</v>
      </c>
      <c r="U110" s="2">
        <v>0</v>
      </c>
      <c r="V110" s="2">
        <v>0</v>
      </c>
      <c r="W110" s="2">
        <v>0</v>
      </c>
      <c r="X110">
        <v>0</v>
      </c>
      <c r="Y110">
        <v>0</v>
      </c>
      <c r="Z110">
        <v>0</v>
      </c>
      <c r="AA110">
        <v>7.85</v>
      </c>
      <c r="AB110">
        <v>28.01</v>
      </c>
      <c r="AC110">
        <v>0</v>
      </c>
      <c r="AD110" s="2">
        <v>35.86</v>
      </c>
      <c r="AE110">
        <v>-35.86</v>
      </c>
      <c r="AF110">
        <v>0</v>
      </c>
      <c r="AG110">
        <v>21.14</v>
      </c>
      <c r="AH110">
        <v>37.090000000000003</v>
      </c>
      <c r="AI110">
        <v>0</v>
      </c>
      <c r="AJ110">
        <v>1.02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35.86</v>
      </c>
      <c r="AT110">
        <v>0</v>
      </c>
      <c r="AU110">
        <v>-35.86</v>
      </c>
      <c r="AV110">
        <v>0</v>
      </c>
    </row>
    <row r="111" spans="1:48" hidden="1" x14ac:dyDescent="0.2">
      <c r="A111">
        <v>102</v>
      </c>
      <c r="B111" t="s">
        <v>192</v>
      </c>
      <c r="C111" t="s">
        <v>193</v>
      </c>
      <c r="D111" t="s">
        <v>194</v>
      </c>
      <c r="E111" t="s">
        <v>195</v>
      </c>
      <c r="F111">
        <v>106</v>
      </c>
      <c r="G111" t="s">
        <v>349</v>
      </c>
      <c r="H111" t="s">
        <v>68</v>
      </c>
      <c r="I111" t="s">
        <v>69</v>
      </c>
      <c r="J111" s="2" t="s">
        <v>350</v>
      </c>
      <c r="K111" t="s">
        <v>351</v>
      </c>
      <c r="L111" s="2" t="s">
        <v>86</v>
      </c>
      <c r="M111" s="1">
        <v>46000</v>
      </c>
      <c r="N111" s="1">
        <v>46030</v>
      </c>
      <c r="O111" s="1">
        <v>46022</v>
      </c>
      <c r="Q111">
        <v>0</v>
      </c>
      <c r="R111">
        <v>0</v>
      </c>
      <c r="S111">
        <v>0</v>
      </c>
      <c r="T111" s="2">
        <v>0</v>
      </c>
      <c r="U111" s="2">
        <v>0</v>
      </c>
      <c r="V111" s="2">
        <v>0</v>
      </c>
      <c r="W111" s="2">
        <v>91</v>
      </c>
      <c r="X111">
        <v>0</v>
      </c>
      <c r="Y111">
        <v>0</v>
      </c>
      <c r="Z111">
        <v>0</v>
      </c>
      <c r="AA111">
        <v>25.61</v>
      </c>
      <c r="AB111">
        <v>30.45</v>
      </c>
      <c r="AC111">
        <v>2.48</v>
      </c>
      <c r="AD111" s="2">
        <v>58.54</v>
      </c>
      <c r="AE111">
        <v>32.46</v>
      </c>
      <c r="AF111">
        <v>35.67</v>
      </c>
      <c r="AG111">
        <v>32.46</v>
      </c>
      <c r="AH111">
        <v>35.67</v>
      </c>
      <c r="AI111">
        <v>0</v>
      </c>
      <c r="AJ111">
        <v>1.99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91</v>
      </c>
      <c r="AR111">
        <v>91</v>
      </c>
      <c r="AS111">
        <v>58.54</v>
      </c>
      <c r="AT111">
        <v>0</v>
      </c>
      <c r="AU111">
        <v>32.46</v>
      </c>
      <c r="AV111">
        <v>35.67</v>
      </c>
    </row>
    <row r="112" spans="1:48" hidden="1" x14ac:dyDescent="0.2">
      <c r="A112">
        <v>102</v>
      </c>
      <c r="B112" t="s">
        <v>192</v>
      </c>
      <c r="C112" t="s">
        <v>193</v>
      </c>
      <c r="D112" t="s">
        <v>194</v>
      </c>
      <c r="E112" t="s">
        <v>195</v>
      </c>
      <c r="F112">
        <v>106</v>
      </c>
      <c r="G112" t="s">
        <v>349</v>
      </c>
      <c r="H112" t="s">
        <v>68</v>
      </c>
      <c r="I112" t="s">
        <v>69</v>
      </c>
      <c r="J112" s="2" t="s">
        <v>352</v>
      </c>
      <c r="K112" t="s">
        <v>353</v>
      </c>
      <c r="L112" s="2" t="s">
        <v>86</v>
      </c>
      <c r="M112" s="1">
        <v>46001</v>
      </c>
      <c r="N112" s="1">
        <v>46030</v>
      </c>
      <c r="O112" s="1">
        <v>46022</v>
      </c>
      <c r="Q112">
        <v>0</v>
      </c>
      <c r="R112">
        <v>0</v>
      </c>
      <c r="S112">
        <v>0</v>
      </c>
      <c r="T112" s="2">
        <v>0</v>
      </c>
      <c r="U112" s="2">
        <v>0</v>
      </c>
      <c r="V112" s="2">
        <v>0</v>
      </c>
      <c r="W112" s="2">
        <v>93.32</v>
      </c>
      <c r="X112">
        <v>0</v>
      </c>
      <c r="Y112">
        <v>2.5</v>
      </c>
      <c r="Z112">
        <v>0</v>
      </c>
      <c r="AA112">
        <v>26.55</v>
      </c>
      <c r="AB112">
        <v>0.26</v>
      </c>
      <c r="AC112">
        <v>1.68</v>
      </c>
      <c r="AD112" s="2">
        <v>30.99</v>
      </c>
      <c r="AE112">
        <v>62.33</v>
      </c>
      <c r="AF112">
        <v>66.790000000000006</v>
      </c>
      <c r="AG112">
        <v>62.33</v>
      </c>
      <c r="AH112">
        <v>66.790000000000006</v>
      </c>
      <c r="AI112">
        <v>0</v>
      </c>
      <c r="AJ112">
        <v>1.27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93.32</v>
      </c>
      <c r="AR112">
        <v>93.32</v>
      </c>
      <c r="AS112">
        <v>30.99</v>
      </c>
      <c r="AT112">
        <v>0</v>
      </c>
      <c r="AU112">
        <v>62.33</v>
      </c>
      <c r="AV112">
        <v>66.790000000000006</v>
      </c>
    </row>
    <row r="113" spans="1:48" hidden="1" x14ac:dyDescent="0.2">
      <c r="A113">
        <v>102</v>
      </c>
      <c r="B113" t="s">
        <v>192</v>
      </c>
      <c r="C113" t="s">
        <v>193</v>
      </c>
      <c r="D113" t="s">
        <v>194</v>
      </c>
      <c r="E113" t="s">
        <v>195</v>
      </c>
      <c r="F113">
        <v>107</v>
      </c>
      <c r="G113" t="s">
        <v>354</v>
      </c>
      <c r="H113" t="s">
        <v>68</v>
      </c>
      <c r="I113" t="s">
        <v>69</v>
      </c>
      <c r="J113" s="2" t="s">
        <v>355</v>
      </c>
      <c r="K113" t="s">
        <v>356</v>
      </c>
      <c r="L113" s="2" t="s">
        <v>86</v>
      </c>
      <c r="M113" s="1">
        <v>45996</v>
      </c>
      <c r="N113" s="1">
        <v>46029</v>
      </c>
      <c r="O113" s="1">
        <v>46022</v>
      </c>
      <c r="Q113">
        <v>0</v>
      </c>
      <c r="R113">
        <v>0</v>
      </c>
      <c r="S113">
        <v>0</v>
      </c>
      <c r="T113" s="2">
        <v>0</v>
      </c>
      <c r="U113" s="2">
        <v>0</v>
      </c>
      <c r="V113" s="2">
        <v>0</v>
      </c>
      <c r="W113" s="2">
        <v>132</v>
      </c>
      <c r="X113">
        <v>0</v>
      </c>
      <c r="Y113">
        <v>0</v>
      </c>
      <c r="Z113">
        <v>0</v>
      </c>
      <c r="AA113">
        <v>42.54</v>
      </c>
      <c r="AB113">
        <v>74.569999999999993</v>
      </c>
      <c r="AC113">
        <v>3.72</v>
      </c>
      <c r="AD113" s="2">
        <v>120.83</v>
      </c>
      <c r="AE113">
        <v>11.17</v>
      </c>
      <c r="AF113">
        <v>8.4600000000000009</v>
      </c>
      <c r="AG113">
        <v>11.17</v>
      </c>
      <c r="AH113">
        <v>8.4600000000000009</v>
      </c>
      <c r="AI113">
        <v>0</v>
      </c>
      <c r="AJ113">
        <v>3.47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132</v>
      </c>
      <c r="AR113">
        <v>132</v>
      </c>
      <c r="AS113">
        <v>120.83</v>
      </c>
      <c r="AT113">
        <v>0</v>
      </c>
      <c r="AU113">
        <v>11.17</v>
      </c>
      <c r="AV113">
        <v>8.4600000000000009</v>
      </c>
    </row>
    <row r="114" spans="1:48" hidden="1" x14ac:dyDescent="0.2">
      <c r="A114">
        <v>102</v>
      </c>
      <c r="B114" t="s">
        <v>192</v>
      </c>
      <c r="C114" t="s">
        <v>193</v>
      </c>
      <c r="D114" t="s">
        <v>194</v>
      </c>
      <c r="E114" t="s">
        <v>195</v>
      </c>
      <c r="F114">
        <v>107</v>
      </c>
      <c r="G114" t="s">
        <v>354</v>
      </c>
      <c r="H114" t="s">
        <v>68</v>
      </c>
      <c r="I114" t="s">
        <v>69</v>
      </c>
      <c r="J114" s="2" t="s">
        <v>357</v>
      </c>
      <c r="K114" t="s">
        <v>358</v>
      </c>
      <c r="L114" s="2" t="s">
        <v>86</v>
      </c>
      <c r="M114" s="1">
        <v>46003</v>
      </c>
      <c r="N114" s="1">
        <v>46031</v>
      </c>
      <c r="O114" s="1">
        <v>46022</v>
      </c>
      <c r="Q114">
        <v>0</v>
      </c>
      <c r="R114">
        <v>0</v>
      </c>
      <c r="S114">
        <v>0</v>
      </c>
      <c r="T114" s="2">
        <v>0</v>
      </c>
      <c r="U114" s="2">
        <v>0</v>
      </c>
      <c r="V114" s="2">
        <v>0</v>
      </c>
      <c r="W114" s="2">
        <v>91</v>
      </c>
      <c r="X114">
        <v>0</v>
      </c>
      <c r="Y114">
        <v>0</v>
      </c>
      <c r="Z114">
        <v>0</v>
      </c>
      <c r="AA114">
        <v>30.56</v>
      </c>
      <c r="AB114">
        <v>25.88</v>
      </c>
      <c r="AC114">
        <v>2.44</v>
      </c>
      <c r="AD114" s="2">
        <v>58.88</v>
      </c>
      <c r="AE114">
        <v>32.119999999999997</v>
      </c>
      <c r="AF114">
        <v>35.299999999999997</v>
      </c>
      <c r="AG114">
        <v>32.119999999999997</v>
      </c>
      <c r="AH114">
        <v>35.299999999999997</v>
      </c>
      <c r="AI114">
        <v>0</v>
      </c>
      <c r="AJ114">
        <v>1.9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91</v>
      </c>
      <c r="AR114">
        <v>91</v>
      </c>
      <c r="AS114">
        <v>58.88</v>
      </c>
      <c r="AT114">
        <v>0</v>
      </c>
      <c r="AU114">
        <v>32.119999999999997</v>
      </c>
      <c r="AV114">
        <v>35.299999999999997</v>
      </c>
    </row>
    <row r="115" spans="1:48" hidden="1" x14ac:dyDescent="0.2">
      <c r="A115">
        <v>102</v>
      </c>
      <c r="B115" t="s">
        <v>192</v>
      </c>
      <c r="C115" t="s">
        <v>193</v>
      </c>
      <c r="D115" t="s">
        <v>194</v>
      </c>
      <c r="E115" t="s">
        <v>195</v>
      </c>
      <c r="F115">
        <v>107</v>
      </c>
      <c r="G115" t="s">
        <v>354</v>
      </c>
      <c r="H115" t="s">
        <v>68</v>
      </c>
      <c r="I115" t="s">
        <v>69</v>
      </c>
      <c r="J115" s="2" t="s">
        <v>359</v>
      </c>
      <c r="K115" t="s">
        <v>360</v>
      </c>
      <c r="L115" s="2" t="s">
        <v>86</v>
      </c>
      <c r="M115" s="1">
        <v>46020</v>
      </c>
      <c r="N115" s="1">
        <v>46034</v>
      </c>
      <c r="O115" s="1">
        <v>46022</v>
      </c>
      <c r="Q115">
        <v>0</v>
      </c>
      <c r="R115">
        <v>0</v>
      </c>
      <c r="S115">
        <v>0</v>
      </c>
      <c r="T115" s="2">
        <v>0</v>
      </c>
      <c r="U115" s="2">
        <v>0</v>
      </c>
      <c r="V115" s="2">
        <v>0</v>
      </c>
      <c r="W115" s="2">
        <v>57</v>
      </c>
      <c r="X115">
        <v>0</v>
      </c>
      <c r="Y115">
        <v>0</v>
      </c>
      <c r="Z115">
        <v>0</v>
      </c>
      <c r="AA115">
        <v>2.48</v>
      </c>
      <c r="AB115">
        <v>4.3899999999999997</v>
      </c>
      <c r="AC115">
        <v>0.47</v>
      </c>
      <c r="AD115" s="2">
        <v>7.34</v>
      </c>
      <c r="AE115">
        <v>49.66</v>
      </c>
      <c r="AF115">
        <v>87.12</v>
      </c>
      <c r="AG115">
        <v>49.66</v>
      </c>
      <c r="AH115">
        <v>87.12</v>
      </c>
      <c r="AI115">
        <v>0</v>
      </c>
      <c r="AJ115">
        <v>0.27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57</v>
      </c>
      <c r="AR115">
        <v>57</v>
      </c>
      <c r="AS115">
        <v>7.34</v>
      </c>
      <c r="AT115">
        <v>0</v>
      </c>
      <c r="AU115">
        <v>49.66</v>
      </c>
      <c r="AV115">
        <v>87.12</v>
      </c>
    </row>
    <row r="116" spans="1:48" hidden="1" x14ac:dyDescent="0.2">
      <c r="A116">
        <v>102</v>
      </c>
      <c r="B116" t="s">
        <v>192</v>
      </c>
      <c r="C116" t="s">
        <v>193</v>
      </c>
      <c r="D116" t="s">
        <v>194</v>
      </c>
      <c r="E116" t="s">
        <v>195</v>
      </c>
      <c r="F116">
        <v>108</v>
      </c>
      <c r="G116" t="s">
        <v>361</v>
      </c>
      <c r="H116" t="s">
        <v>68</v>
      </c>
      <c r="I116" t="s">
        <v>69</v>
      </c>
      <c r="J116" s="2" t="s">
        <v>362</v>
      </c>
      <c r="K116" t="s">
        <v>363</v>
      </c>
      <c r="L116" s="2" t="s">
        <v>86</v>
      </c>
      <c r="M116" s="1">
        <v>46006</v>
      </c>
      <c r="N116" s="1">
        <v>46030</v>
      </c>
      <c r="O116" s="1">
        <v>46022</v>
      </c>
      <c r="Q116">
        <v>0</v>
      </c>
      <c r="R116">
        <v>0</v>
      </c>
      <c r="S116">
        <v>0</v>
      </c>
      <c r="T116" s="2">
        <v>0</v>
      </c>
      <c r="U116" s="2">
        <v>0</v>
      </c>
      <c r="V116" s="2">
        <v>0</v>
      </c>
      <c r="W116" s="2">
        <v>74</v>
      </c>
      <c r="X116">
        <v>0</v>
      </c>
      <c r="Y116">
        <v>0</v>
      </c>
      <c r="Z116">
        <v>0</v>
      </c>
      <c r="AA116">
        <v>14.87</v>
      </c>
      <c r="AB116">
        <v>31.66</v>
      </c>
      <c r="AC116">
        <v>1.88</v>
      </c>
      <c r="AD116" s="2">
        <v>48.41</v>
      </c>
      <c r="AE116">
        <v>25.59</v>
      </c>
      <c r="AF116">
        <v>34.58</v>
      </c>
      <c r="AG116">
        <v>25.59</v>
      </c>
      <c r="AH116">
        <v>34.58</v>
      </c>
      <c r="AI116">
        <v>0</v>
      </c>
      <c r="AJ116">
        <v>1.22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74</v>
      </c>
      <c r="AR116">
        <v>74</v>
      </c>
      <c r="AS116">
        <v>48.41</v>
      </c>
      <c r="AT116">
        <v>0</v>
      </c>
      <c r="AU116">
        <v>25.59</v>
      </c>
      <c r="AV116">
        <v>34.58</v>
      </c>
    </row>
    <row r="117" spans="1:48" hidden="1" x14ac:dyDescent="0.2">
      <c r="A117">
        <v>102</v>
      </c>
      <c r="B117" t="s">
        <v>192</v>
      </c>
      <c r="C117" t="s">
        <v>193</v>
      </c>
      <c r="D117" t="s">
        <v>194</v>
      </c>
      <c r="E117" t="s">
        <v>195</v>
      </c>
      <c r="F117">
        <v>108</v>
      </c>
      <c r="G117" t="s">
        <v>361</v>
      </c>
      <c r="H117" t="s">
        <v>68</v>
      </c>
      <c r="I117" t="s">
        <v>69</v>
      </c>
      <c r="J117" s="2" t="s">
        <v>364</v>
      </c>
      <c r="K117" t="s">
        <v>365</v>
      </c>
      <c r="L117" s="2" t="s">
        <v>86</v>
      </c>
      <c r="M117" s="1">
        <v>46013</v>
      </c>
      <c r="N117" s="1">
        <v>46033</v>
      </c>
      <c r="O117" s="1">
        <v>46022</v>
      </c>
      <c r="Q117">
        <v>0</v>
      </c>
      <c r="R117">
        <v>0</v>
      </c>
      <c r="S117">
        <v>0</v>
      </c>
      <c r="T117" s="2">
        <v>0</v>
      </c>
      <c r="U117" s="2">
        <v>0</v>
      </c>
      <c r="V117" s="2">
        <v>0</v>
      </c>
      <c r="W117" s="2">
        <v>110.23</v>
      </c>
      <c r="X117">
        <v>0</v>
      </c>
      <c r="Y117">
        <v>1.5</v>
      </c>
      <c r="Z117">
        <v>0</v>
      </c>
      <c r="AA117">
        <v>34.229999999999997</v>
      </c>
      <c r="AB117">
        <v>54.39</v>
      </c>
      <c r="AC117">
        <v>6.24</v>
      </c>
      <c r="AD117" s="2">
        <v>96.36</v>
      </c>
      <c r="AE117">
        <v>13.87</v>
      </c>
      <c r="AF117">
        <v>12.58</v>
      </c>
      <c r="AG117">
        <v>13.87</v>
      </c>
      <c r="AH117">
        <v>12.58</v>
      </c>
      <c r="AI117">
        <v>0</v>
      </c>
      <c r="AJ117">
        <v>3.59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110.23</v>
      </c>
      <c r="AR117">
        <v>110.23</v>
      </c>
      <c r="AS117">
        <v>96.36</v>
      </c>
      <c r="AT117">
        <v>0</v>
      </c>
      <c r="AU117">
        <v>13.87</v>
      </c>
      <c r="AV117">
        <v>12.58</v>
      </c>
    </row>
    <row r="118" spans="1:48" hidden="1" x14ac:dyDescent="0.2">
      <c r="A118">
        <v>102</v>
      </c>
      <c r="B118" t="s">
        <v>192</v>
      </c>
      <c r="C118" t="s">
        <v>193</v>
      </c>
      <c r="D118" t="s">
        <v>194</v>
      </c>
      <c r="E118" t="s">
        <v>195</v>
      </c>
      <c r="F118">
        <v>108</v>
      </c>
      <c r="G118" t="s">
        <v>361</v>
      </c>
      <c r="H118" t="s">
        <v>68</v>
      </c>
      <c r="I118" t="s">
        <v>69</v>
      </c>
      <c r="J118" s="2" t="s">
        <v>366</v>
      </c>
      <c r="K118" t="s">
        <v>367</v>
      </c>
      <c r="L118" s="2" t="s">
        <v>63</v>
      </c>
      <c r="M118" s="1">
        <v>46013</v>
      </c>
      <c r="N118" t="s">
        <v>64</v>
      </c>
      <c r="O118" t="s">
        <v>64</v>
      </c>
      <c r="Q118">
        <v>0</v>
      </c>
      <c r="R118">
        <v>0</v>
      </c>
      <c r="S118">
        <v>0</v>
      </c>
      <c r="T118" s="2">
        <v>51</v>
      </c>
      <c r="U118" s="2">
        <v>0</v>
      </c>
      <c r="V118" s="2">
        <v>0</v>
      </c>
      <c r="W118" s="2">
        <v>0</v>
      </c>
      <c r="X118">
        <v>0</v>
      </c>
      <c r="Y118">
        <v>0</v>
      </c>
      <c r="Z118">
        <v>0</v>
      </c>
      <c r="AA118">
        <v>27.95</v>
      </c>
      <c r="AB118">
        <v>0</v>
      </c>
      <c r="AC118">
        <v>2.3199999999999998</v>
      </c>
      <c r="AD118" s="2">
        <v>30.27</v>
      </c>
      <c r="AE118">
        <v>-30.27</v>
      </c>
      <c r="AF118">
        <v>0</v>
      </c>
      <c r="AG118">
        <v>20.73</v>
      </c>
      <c r="AH118">
        <v>40.65</v>
      </c>
      <c r="AI118">
        <v>0</v>
      </c>
      <c r="AJ118">
        <v>1.33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30.27</v>
      </c>
      <c r="AT118">
        <v>0</v>
      </c>
      <c r="AU118">
        <v>-30.27</v>
      </c>
      <c r="AV118">
        <v>0</v>
      </c>
    </row>
    <row r="119" spans="1:48" hidden="1" x14ac:dyDescent="0.2">
      <c r="A119">
        <v>102</v>
      </c>
      <c r="B119" t="s">
        <v>192</v>
      </c>
      <c r="C119" t="s">
        <v>193</v>
      </c>
      <c r="D119" t="s">
        <v>194</v>
      </c>
      <c r="E119" t="s">
        <v>195</v>
      </c>
      <c r="F119">
        <v>108</v>
      </c>
      <c r="G119" t="s">
        <v>361</v>
      </c>
      <c r="H119" t="s">
        <v>68</v>
      </c>
      <c r="I119" t="s">
        <v>69</v>
      </c>
      <c r="J119" s="2" t="s">
        <v>368</v>
      </c>
      <c r="K119" t="s">
        <v>369</v>
      </c>
      <c r="L119" s="2" t="s">
        <v>86</v>
      </c>
      <c r="M119" s="1">
        <v>46021</v>
      </c>
      <c r="N119" s="1">
        <v>46034</v>
      </c>
      <c r="O119" s="1">
        <v>46022</v>
      </c>
      <c r="Q119">
        <v>0</v>
      </c>
      <c r="R119">
        <v>0</v>
      </c>
      <c r="S119">
        <v>0</v>
      </c>
      <c r="T119" s="2">
        <v>0</v>
      </c>
      <c r="U119" s="2">
        <v>0</v>
      </c>
      <c r="V119" s="2">
        <v>0</v>
      </c>
      <c r="W119" s="2">
        <v>74</v>
      </c>
      <c r="X119">
        <v>0</v>
      </c>
      <c r="Y119">
        <v>0</v>
      </c>
      <c r="Z119">
        <v>0</v>
      </c>
      <c r="AA119">
        <v>19.82</v>
      </c>
      <c r="AB119">
        <v>22.74</v>
      </c>
      <c r="AC119">
        <v>1.38</v>
      </c>
      <c r="AD119" s="2">
        <v>43.94</v>
      </c>
      <c r="AE119">
        <v>30.06</v>
      </c>
      <c r="AF119">
        <v>40.619999999999997</v>
      </c>
      <c r="AG119">
        <v>30.06</v>
      </c>
      <c r="AH119">
        <v>40.619999999999997</v>
      </c>
      <c r="AI119">
        <v>0</v>
      </c>
      <c r="AJ119">
        <v>0.98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74</v>
      </c>
      <c r="AR119">
        <v>74</v>
      </c>
      <c r="AS119">
        <v>43.94</v>
      </c>
      <c r="AT119">
        <v>0</v>
      </c>
      <c r="AU119">
        <v>30.06</v>
      </c>
      <c r="AV119">
        <v>40.619999999999997</v>
      </c>
    </row>
    <row r="120" spans="1:48" hidden="1" x14ac:dyDescent="0.2">
      <c r="A120">
        <v>102</v>
      </c>
      <c r="B120" t="s">
        <v>192</v>
      </c>
      <c r="C120" t="s">
        <v>193</v>
      </c>
      <c r="D120" t="s">
        <v>194</v>
      </c>
      <c r="E120" t="s">
        <v>195</v>
      </c>
      <c r="F120">
        <v>109</v>
      </c>
      <c r="G120" t="s">
        <v>370</v>
      </c>
      <c r="H120" t="s">
        <v>68</v>
      </c>
      <c r="I120" t="s">
        <v>69</v>
      </c>
      <c r="J120" s="2" t="s">
        <v>371</v>
      </c>
      <c r="K120" t="s">
        <v>372</v>
      </c>
      <c r="L120" s="2" t="s">
        <v>86</v>
      </c>
      <c r="M120" s="1">
        <v>45994</v>
      </c>
      <c r="N120" s="1">
        <v>46031</v>
      </c>
      <c r="O120" s="1">
        <v>46022</v>
      </c>
      <c r="Q120">
        <v>0</v>
      </c>
      <c r="R120">
        <v>0</v>
      </c>
      <c r="S120">
        <v>0</v>
      </c>
      <c r="T120" s="2">
        <v>0</v>
      </c>
      <c r="U120" s="2">
        <v>0</v>
      </c>
      <c r="V120" s="2">
        <v>0</v>
      </c>
      <c r="W120" s="2">
        <v>74</v>
      </c>
      <c r="X120">
        <v>0</v>
      </c>
      <c r="Y120">
        <v>0</v>
      </c>
      <c r="Z120">
        <v>0</v>
      </c>
      <c r="AA120">
        <v>20.61</v>
      </c>
      <c r="AB120">
        <v>2.71</v>
      </c>
      <c r="AC120">
        <v>2.1800000000000002</v>
      </c>
      <c r="AD120" s="2">
        <v>25.5</v>
      </c>
      <c r="AE120">
        <v>48.5</v>
      </c>
      <c r="AF120">
        <v>65.540000000000006</v>
      </c>
      <c r="AG120">
        <v>48.5</v>
      </c>
      <c r="AH120">
        <v>65.540000000000006</v>
      </c>
      <c r="AI120">
        <v>0</v>
      </c>
      <c r="AJ120">
        <v>1.1000000000000001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74</v>
      </c>
      <c r="AR120">
        <v>74</v>
      </c>
      <c r="AS120">
        <v>25.5</v>
      </c>
      <c r="AT120">
        <v>0</v>
      </c>
      <c r="AU120">
        <v>48.5</v>
      </c>
      <c r="AV120">
        <v>65.540000000000006</v>
      </c>
    </row>
    <row r="121" spans="1:48" hidden="1" x14ac:dyDescent="0.2">
      <c r="A121">
        <v>102</v>
      </c>
      <c r="B121" t="s">
        <v>192</v>
      </c>
      <c r="C121" t="s">
        <v>193</v>
      </c>
      <c r="D121" t="s">
        <v>194</v>
      </c>
      <c r="E121" t="s">
        <v>195</v>
      </c>
      <c r="F121">
        <v>110</v>
      </c>
      <c r="G121" t="s">
        <v>373</v>
      </c>
      <c r="H121" t="s">
        <v>68</v>
      </c>
      <c r="I121" t="s">
        <v>69</v>
      </c>
      <c r="J121" s="2" t="s">
        <v>374</v>
      </c>
      <c r="K121" t="s">
        <v>375</v>
      </c>
      <c r="L121" s="2" t="s">
        <v>86</v>
      </c>
      <c r="M121" s="1">
        <v>46013</v>
      </c>
      <c r="N121" s="1">
        <v>46033</v>
      </c>
      <c r="O121" s="1">
        <v>46022</v>
      </c>
      <c r="Q121">
        <v>0</v>
      </c>
      <c r="R121">
        <v>0</v>
      </c>
      <c r="S121">
        <v>0</v>
      </c>
      <c r="T121" s="2">
        <v>0</v>
      </c>
      <c r="U121" s="2">
        <v>0</v>
      </c>
      <c r="V121" s="2">
        <v>0</v>
      </c>
      <c r="W121" s="2">
        <v>91.33</v>
      </c>
      <c r="X121">
        <v>0</v>
      </c>
      <c r="Y121">
        <v>0.25</v>
      </c>
      <c r="Z121">
        <v>0</v>
      </c>
      <c r="AA121">
        <v>23.06</v>
      </c>
      <c r="AB121">
        <v>27.64</v>
      </c>
      <c r="AC121">
        <v>2.7</v>
      </c>
      <c r="AD121" s="2">
        <v>53.65</v>
      </c>
      <c r="AE121">
        <v>37.68</v>
      </c>
      <c r="AF121">
        <v>41.26</v>
      </c>
      <c r="AG121">
        <v>37.68</v>
      </c>
      <c r="AH121">
        <v>41.26</v>
      </c>
      <c r="AI121">
        <v>0</v>
      </c>
      <c r="AJ121">
        <v>1.6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91.33</v>
      </c>
      <c r="AR121">
        <v>91.33</v>
      </c>
      <c r="AS121">
        <v>53.65</v>
      </c>
      <c r="AT121">
        <v>0</v>
      </c>
      <c r="AU121">
        <v>37.68</v>
      </c>
      <c r="AV121">
        <v>41.26</v>
      </c>
    </row>
    <row r="122" spans="1:48" hidden="1" x14ac:dyDescent="0.2">
      <c r="A122">
        <v>102</v>
      </c>
      <c r="B122" t="s">
        <v>192</v>
      </c>
      <c r="C122" t="s">
        <v>193</v>
      </c>
      <c r="D122" t="s">
        <v>194</v>
      </c>
      <c r="E122" t="s">
        <v>195</v>
      </c>
      <c r="F122">
        <v>112</v>
      </c>
      <c r="G122" t="s">
        <v>376</v>
      </c>
      <c r="H122" t="s">
        <v>68</v>
      </c>
      <c r="I122" t="s">
        <v>69</v>
      </c>
      <c r="J122" s="2" t="s">
        <v>377</v>
      </c>
      <c r="K122" t="s">
        <v>378</v>
      </c>
      <c r="L122" s="2" t="s">
        <v>86</v>
      </c>
      <c r="M122" s="1">
        <v>46015</v>
      </c>
      <c r="N122" s="1">
        <v>46030</v>
      </c>
      <c r="O122" s="1">
        <v>46022</v>
      </c>
      <c r="Q122">
        <v>0</v>
      </c>
      <c r="R122">
        <v>0</v>
      </c>
      <c r="S122">
        <v>0</v>
      </c>
      <c r="T122" s="2">
        <v>0</v>
      </c>
      <c r="U122" s="2">
        <v>0</v>
      </c>
      <c r="V122" s="2">
        <v>0</v>
      </c>
      <c r="W122" s="2">
        <v>87.14</v>
      </c>
      <c r="X122">
        <v>0</v>
      </c>
      <c r="Y122">
        <v>14.31</v>
      </c>
      <c r="Z122">
        <v>0</v>
      </c>
      <c r="AA122">
        <v>8.67</v>
      </c>
      <c r="AB122">
        <v>138.41</v>
      </c>
      <c r="AC122">
        <v>5.88</v>
      </c>
      <c r="AD122" s="2">
        <v>167.27</v>
      </c>
      <c r="AE122">
        <v>-80.13</v>
      </c>
      <c r="AF122">
        <v>-91.96</v>
      </c>
      <c r="AG122">
        <v>-80.13</v>
      </c>
      <c r="AH122">
        <v>-91.96</v>
      </c>
      <c r="AI122">
        <v>0</v>
      </c>
      <c r="AJ122">
        <v>3.91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87.14</v>
      </c>
      <c r="AR122">
        <v>87.14</v>
      </c>
      <c r="AS122">
        <v>167.27</v>
      </c>
      <c r="AT122">
        <v>0</v>
      </c>
      <c r="AU122">
        <v>-80.13</v>
      </c>
      <c r="AV122">
        <v>-91.96</v>
      </c>
    </row>
    <row r="123" spans="1:48" hidden="1" x14ac:dyDescent="0.2">
      <c r="A123">
        <v>102</v>
      </c>
      <c r="B123" t="s">
        <v>192</v>
      </c>
      <c r="C123" t="s">
        <v>193</v>
      </c>
      <c r="D123" t="s">
        <v>194</v>
      </c>
      <c r="E123" t="s">
        <v>195</v>
      </c>
      <c r="F123">
        <v>113</v>
      </c>
      <c r="G123" t="s">
        <v>379</v>
      </c>
      <c r="H123" t="s">
        <v>68</v>
      </c>
      <c r="I123" t="s">
        <v>69</v>
      </c>
      <c r="J123" s="2" t="s">
        <v>380</v>
      </c>
      <c r="K123" t="s">
        <v>381</v>
      </c>
      <c r="L123" s="2" t="s">
        <v>86</v>
      </c>
      <c r="M123" s="1">
        <v>46001</v>
      </c>
      <c r="N123" s="1">
        <v>46009</v>
      </c>
      <c r="O123" s="1">
        <v>46022</v>
      </c>
      <c r="Q123">
        <v>0</v>
      </c>
      <c r="R123">
        <v>0</v>
      </c>
      <c r="S123">
        <v>0</v>
      </c>
      <c r="T123" s="2">
        <v>0</v>
      </c>
      <c r="U123" s="2">
        <v>0</v>
      </c>
      <c r="V123" s="2">
        <v>0</v>
      </c>
      <c r="W123" s="2">
        <v>792</v>
      </c>
      <c r="X123">
        <v>0</v>
      </c>
      <c r="Y123">
        <v>483.81</v>
      </c>
      <c r="Z123">
        <v>0</v>
      </c>
      <c r="AA123">
        <v>33.04</v>
      </c>
      <c r="AB123">
        <v>53.17</v>
      </c>
      <c r="AC123">
        <v>2.4700000000000002</v>
      </c>
      <c r="AD123" s="2">
        <v>572.49</v>
      </c>
      <c r="AE123">
        <v>219.51</v>
      </c>
      <c r="AF123">
        <v>27.72</v>
      </c>
      <c r="AG123">
        <v>219.51</v>
      </c>
      <c r="AH123">
        <v>27.72</v>
      </c>
      <c r="AI123">
        <v>0</v>
      </c>
      <c r="AJ123">
        <v>2.38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792</v>
      </c>
      <c r="AR123">
        <v>792</v>
      </c>
      <c r="AS123">
        <v>572.49</v>
      </c>
      <c r="AT123">
        <v>0</v>
      </c>
      <c r="AU123">
        <v>219.51</v>
      </c>
      <c r="AV123">
        <v>27.72</v>
      </c>
    </row>
    <row r="124" spans="1:48" hidden="1" x14ac:dyDescent="0.2">
      <c r="A124">
        <v>102</v>
      </c>
      <c r="B124" t="s">
        <v>192</v>
      </c>
      <c r="C124" t="s">
        <v>193</v>
      </c>
      <c r="D124" t="s">
        <v>194</v>
      </c>
      <c r="E124" t="s">
        <v>195</v>
      </c>
      <c r="F124">
        <v>113</v>
      </c>
      <c r="G124" t="s">
        <v>379</v>
      </c>
      <c r="H124" t="s">
        <v>68</v>
      </c>
      <c r="I124" t="s">
        <v>69</v>
      </c>
      <c r="J124" s="2" t="s">
        <v>382</v>
      </c>
      <c r="K124" t="s">
        <v>383</v>
      </c>
      <c r="L124" s="2" t="s">
        <v>86</v>
      </c>
      <c r="M124" s="1">
        <v>46006</v>
      </c>
      <c r="N124" s="1">
        <v>46030</v>
      </c>
      <c r="O124" s="1">
        <v>46022</v>
      </c>
      <c r="Q124">
        <v>0</v>
      </c>
      <c r="R124">
        <v>0</v>
      </c>
      <c r="S124">
        <v>0</v>
      </c>
      <c r="T124" s="2">
        <v>0</v>
      </c>
      <c r="U124" s="2">
        <v>0</v>
      </c>
      <c r="V124" s="2">
        <v>0</v>
      </c>
      <c r="W124" s="2">
        <v>207.68</v>
      </c>
      <c r="X124">
        <v>0</v>
      </c>
      <c r="Y124">
        <v>39.950000000000003</v>
      </c>
      <c r="Z124">
        <v>0</v>
      </c>
      <c r="AA124">
        <v>51.63</v>
      </c>
      <c r="AB124">
        <v>44.6</v>
      </c>
      <c r="AC124">
        <v>5</v>
      </c>
      <c r="AD124" s="2">
        <v>141.18</v>
      </c>
      <c r="AE124">
        <v>66.5</v>
      </c>
      <c r="AF124">
        <v>32.020000000000003</v>
      </c>
      <c r="AG124">
        <v>66.5</v>
      </c>
      <c r="AH124">
        <v>32.020000000000003</v>
      </c>
      <c r="AI124">
        <v>0</v>
      </c>
      <c r="AJ124">
        <v>3.32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207.68</v>
      </c>
      <c r="AR124">
        <v>207.68</v>
      </c>
      <c r="AS124">
        <v>141.18</v>
      </c>
      <c r="AT124">
        <v>0</v>
      </c>
      <c r="AU124">
        <v>66.5</v>
      </c>
      <c r="AV124">
        <v>32.020000000000003</v>
      </c>
    </row>
    <row r="125" spans="1:48" hidden="1" x14ac:dyDescent="0.2">
      <c r="A125">
        <v>102</v>
      </c>
      <c r="B125" t="s">
        <v>192</v>
      </c>
      <c r="C125" t="s">
        <v>193</v>
      </c>
      <c r="D125" t="s">
        <v>194</v>
      </c>
      <c r="E125" t="s">
        <v>195</v>
      </c>
      <c r="F125">
        <v>113</v>
      </c>
      <c r="G125" t="s">
        <v>379</v>
      </c>
      <c r="H125" t="s">
        <v>68</v>
      </c>
      <c r="I125" t="s">
        <v>69</v>
      </c>
      <c r="J125" s="2" t="s">
        <v>384</v>
      </c>
      <c r="K125" t="s">
        <v>385</v>
      </c>
      <c r="L125" s="2" t="s">
        <v>86</v>
      </c>
      <c r="M125" s="1">
        <v>46017</v>
      </c>
      <c r="N125" s="1">
        <v>46031</v>
      </c>
      <c r="O125" s="1">
        <v>46022</v>
      </c>
      <c r="Q125">
        <v>0</v>
      </c>
      <c r="R125">
        <v>0</v>
      </c>
      <c r="S125">
        <v>0</v>
      </c>
      <c r="T125" s="2">
        <v>0</v>
      </c>
      <c r="U125" s="2">
        <v>0</v>
      </c>
      <c r="V125" s="2">
        <v>0</v>
      </c>
      <c r="W125" s="2">
        <v>827</v>
      </c>
      <c r="X125">
        <v>0</v>
      </c>
      <c r="Y125">
        <v>289.45</v>
      </c>
      <c r="Z125">
        <v>0</v>
      </c>
      <c r="AA125">
        <v>137.5</v>
      </c>
      <c r="AB125">
        <v>140.88</v>
      </c>
      <c r="AC125">
        <v>12.49</v>
      </c>
      <c r="AD125" s="2">
        <v>580.32000000000005</v>
      </c>
      <c r="AE125">
        <v>246.68</v>
      </c>
      <c r="AF125">
        <v>29.83</v>
      </c>
      <c r="AG125">
        <v>246.68</v>
      </c>
      <c r="AH125">
        <v>29.83</v>
      </c>
      <c r="AI125">
        <v>0</v>
      </c>
      <c r="AJ125">
        <v>10.01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827</v>
      </c>
      <c r="AR125">
        <v>827</v>
      </c>
      <c r="AS125">
        <v>580.32000000000005</v>
      </c>
      <c r="AT125">
        <v>0</v>
      </c>
      <c r="AU125">
        <v>246.68</v>
      </c>
      <c r="AV125">
        <v>29.83</v>
      </c>
    </row>
    <row r="126" spans="1:48" hidden="1" x14ac:dyDescent="0.2">
      <c r="A126">
        <v>102</v>
      </c>
      <c r="B126" t="s">
        <v>192</v>
      </c>
      <c r="C126" t="s">
        <v>193</v>
      </c>
      <c r="D126" t="s">
        <v>194</v>
      </c>
      <c r="E126" t="s">
        <v>195</v>
      </c>
      <c r="F126">
        <v>115</v>
      </c>
      <c r="G126" t="s">
        <v>386</v>
      </c>
      <c r="H126" t="s">
        <v>104</v>
      </c>
      <c r="I126" t="s">
        <v>69</v>
      </c>
      <c r="J126" s="2" t="s">
        <v>387</v>
      </c>
      <c r="K126" t="s">
        <v>388</v>
      </c>
      <c r="L126" s="2" t="s">
        <v>86</v>
      </c>
      <c r="M126" s="1">
        <v>45992</v>
      </c>
      <c r="N126" s="1">
        <v>46029</v>
      </c>
      <c r="O126" s="1">
        <v>46022</v>
      </c>
      <c r="Q126">
        <v>0</v>
      </c>
      <c r="R126">
        <v>0</v>
      </c>
      <c r="S126">
        <v>0</v>
      </c>
      <c r="T126" s="2">
        <v>0</v>
      </c>
      <c r="U126" s="2">
        <v>0</v>
      </c>
      <c r="V126" s="2">
        <v>0</v>
      </c>
      <c r="W126" s="2">
        <v>108</v>
      </c>
      <c r="X126">
        <v>0</v>
      </c>
      <c r="Y126">
        <v>0</v>
      </c>
      <c r="Z126">
        <v>0</v>
      </c>
      <c r="AA126">
        <v>38.82</v>
      </c>
      <c r="AB126">
        <v>45.38</v>
      </c>
      <c r="AC126">
        <v>3.78</v>
      </c>
      <c r="AD126" s="2">
        <v>87.98</v>
      </c>
      <c r="AE126">
        <v>20.02</v>
      </c>
      <c r="AF126">
        <v>18.54</v>
      </c>
      <c r="AG126">
        <v>20.02</v>
      </c>
      <c r="AH126">
        <v>18.54</v>
      </c>
      <c r="AI126">
        <v>0</v>
      </c>
      <c r="AJ126">
        <v>2.52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108</v>
      </c>
      <c r="AR126">
        <v>108</v>
      </c>
      <c r="AS126">
        <v>87.98</v>
      </c>
      <c r="AT126">
        <v>0</v>
      </c>
      <c r="AU126">
        <v>20.02</v>
      </c>
      <c r="AV126">
        <v>18.54</v>
      </c>
    </row>
    <row r="127" spans="1:48" hidden="1" x14ac:dyDescent="0.2">
      <c r="A127">
        <v>102</v>
      </c>
      <c r="B127" t="s">
        <v>192</v>
      </c>
      <c r="C127" t="s">
        <v>193</v>
      </c>
      <c r="D127" t="s">
        <v>194</v>
      </c>
      <c r="E127" t="s">
        <v>195</v>
      </c>
      <c r="F127">
        <v>115</v>
      </c>
      <c r="G127" t="s">
        <v>386</v>
      </c>
      <c r="H127" t="s">
        <v>68</v>
      </c>
      <c r="I127" t="s">
        <v>69</v>
      </c>
      <c r="J127" s="2" t="s">
        <v>389</v>
      </c>
      <c r="K127" t="s">
        <v>390</v>
      </c>
      <c r="L127" s="2" t="s">
        <v>86</v>
      </c>
      <c r="M127" s="1">
        <v>45993</v>
      </c>
      <c r="N127" s="1">
        <v>46029</v>
      </c>
      <c r="O127" s="1">
        <v>46022</v>
      </c>
      <c r="Q127">
        <v>0</v>
      </c>
      <c r="R127">
        <v>0</v>
      </c>
      <c r="S127">
        <v>0</v>
      </c>
      <c r="T127" s="2">
        <v>0</v>
      </c>
      <c r="U127" s="2">
        <v>0</v>
      </c>
      <c r="V127" s="2">
        <v>0</v>
      </c>
      <c r="W127" s="2">
        <v>74</v>
      </c>
      <c r="X127">
        <v>0</v>
      </c>
      <c r="Y127">
        <v>0</v>
      </c>
      <c r="Z127">
        <v>0</v>
      </c>
      <c r="AA127">
        <v>14.87</v>
      </c>
      <c r="AB127">
        <v>43.74</v>
      </c>
      <c r="AC127">
        <v>2.5499999999999998</v>
      </c>
      <c r="AD127" s="2">
        <v>61.16</v>
      </c>
      <c r="AE127">
        <v>12.84</v>
      </c>
      <c r="AF127">
        <v>17.350000000000001</v>
      </c>
      <c r="AG127">
        <v>12.84</v>
      </c>
      <c r="AH127">
        <v>17.350000000000001</v>
      </c>
      <c r="AI127">
        <v>0</v>
      </c>
      <c r="AJ127">
        <v>1.68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74</v>
      </c>
      <c r="AR127">
        <v>74</v>
      </c>
      <c r="AS127">
        <v>61.16</v>
      </c>
      <c r="AT127">
        <v>0</v>
      </c>
      <c r="AU127">
        <v>12.84</v>
      </c>
      <c r="AV127">
        <v>17.350000000000001</v>
      </c>
    </row>
    <row r="128" spans="1:48" hidden="1" x14ac:dyDescent="0.2">
      <c r="A128">
        <v>102</v>
      </c>
      <c r="B128" t="s">
        <v>192</v>
      </c>
      <c r="C128" t="s">
        <v>193</v>
      </c>
      <c r="D128" t="s">
        <v>194</v>
      </c>
      <c r="E128" t="s">
        <v>195</v>
      </c>
      <c r="F128">
        <v>115</v>
      </c>
      <c r="G128" t="s">
        <v>386</v>
      </c>
      <c r="H128" t="s">
        <v>68</v>
      </c>
      <c r="I128" t="s">
        <v>69</v>
      </c>
      <c r="J128" s="2" t="s">
        <v>391</v>
      </c>
      <c r="K128" t="s">
        <v>392</v>
      </c>
      <c r="L128" s="2" t="s">
        <v>86</v>
      </c>
      <c r="M128" s="1">
        <v>45996</v>
      </c>
      <c r="N128" s="1">
        <v>46031</v>
      </c>
      <c r="O128" t="s">
        <v>64</v>
      </c>
      <c r="Q128">
        <v>0</v>
      </c>
      <c r="R128">
        <v>0</v>
      </c>
      <c r="S128">
        <v>0</v>
      </c>
      <c r="T128" s="2">
        <v>0</v>
      </c>
      <c r="U128" s="2">
        <v>0</v>
      </c>
      <c r="V128" s="2">
        <v>0</v>
      </c>
      <c r="W128" s="2">
        <v>0</v>
      </c>
      <c r="X128">
        <v>0</v>
      </c>
      <c r="Y128">
        <v>0</v>
      </c>
      <c r="Z128">
        <v>0</v>
      </c>
      <c r="AA128">
        <v>8.0299999999999994</v>
      </c>
      <c r="AB128">
        <v>28.8</v>
      </c>
      <c r="AC128">
        <v>2.16</v>
      </c>
      <c r="AD128" s="2">
        <v>38.99</v>
      </c>
      <c r="AE128">
        <v>-38.99</v>
      </c>
      <c r="AF128">
        <v>0</v>
      </c>
      <c r="AG128">
        <v>-38.99</v>
      </c>
      <c r="AH128">
        <v>0</v>
      </c>
      <c r="AI128">
        <v>0</v>
      </c>
      <c r="AJ128">
        <v>1.1000000000000001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38.99</v>
      </c>
      <c r="AT128">
        <v>0</v>
      </c>
      <c r="AU128">
        <v>-38.99</v>
      </c>
      <c r="AV128">
        <v>0</v>
      </c>
    </row>
    <row r="129" spans="1:48" hidden="1" x14ac:dyDescent="0.2">
      <c r="A129">
        <v>102</v>
      </c>
      <c r="B129" t="s">
        <v>192</v>
      </c>
      <c r="C129" t="s">
        <v>193</v>
      </c>
      <c r="D129" t="s">
        <v>194</v>
      </c>
      <c r="E129" t="s">
        <v>195</v>
      </c>
      <c r="F129">
        <v>117</v>
      </c>
      <c r="G129" t="s">
        <v>393</v>
      </c>
      <c r="H129" t="s">
        <v>68</v>
      </c>
      <c r="I129" t="s">
        <v>69</v>
      </c>
      <c r="J129" s="2" t="s">
        <v>394</v>
      </c>
      <c r="K129" t="s">
        <v>395</v>
      </c>
      <c r="L129" s="2" t="s">
        <v>86</v>
      </c>
      <c r="M129" s="1">
        <v>45989</v>
      </c>
      <c r="N129" s="1">
        <v>46029</v>
      </c>
      <c r="O129" s="1">
        <v>46022</v>
      </c>
      <c r="Q129">
        <v>0</v>
      </c>
      <c r="R129">
        <v>0</v>
      </c>
      <c r="S129">
        <v>0</v>
      </c>
      <c r="T129" s="2">
        <v>0</v>
      </c>
      <c r="U129" s="2">
        <v>0</v>
      </c>
      <c r="V129" s="2">
        <v>0</v>
      </c>
      <c r="W129" s="2">
        <v>282</v>
      </c>
      <c r="X129">
        <v>0</v>
      </c>
      <c r="Y129">
        <v>0</v>
      </c>
      <c r="Z129">
        <v>0</v>
      </c>
      <c r="AA129">
        <v>74.760000000000005</v>
      </c>
      <c r="AB129">
        <v>85.1</v>
      </c>
      <c r="AC129">
        <v>5.25</v>
      </c>
      <c r="AD129" s="2">
        <v>165.11</v>
      </c>
      <c r="AE129">
        <v>116.89</v>
      </c>
      <c r="AF129">
        <v>41.45</v>
      </c>
      <c r="AG129">
        <v>116.89</v>
      </c>
      <c r="AH129">
        <v>41.45</v>
      </c>
      <c r="AI129">
        <v>0</v>
      </c>
      <c r="AJ129">
        <v>5.15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282</v>
      </c>
      <c r="AR129">
        <v>282</v>
      </c>
      <c r="AS129">
        <v>165.11</v>
      </c>
      <c r="AT129">
        <v>0</v>
      </c>
      <c r="AU129">
        <v>116.89</v>
      </c>
      <c r="AV129">
        <v>41.45</v>
      </c>
    </row>
    <row r="130" spans="1:48" hidden="1" x14ac:dyDescent="0.2">
      <c r="A130">
        <v>102</v>
      </c>
      <c r="B130" t="s">
        <v>192</v>
      </c>
      <c r="C130" t="s">
        <v>193</v>
      </c>
      <c r="D130" t="s">
        <v>194</v>
      </c>
      <c r="E130" t="s">
        <v>195</v>
      </c>
      <c r="F130">
        <v>120</v>
      </c>
      <c r="G130" t="s">
        <v>396</v>
      </c>
      <c r="H130" t="s">
        <v>68</v>
      </c>
      <c r="I130" t="s">
        <v>69</v>
      </c>
      <c r="J130" s="2" t="s">
        <v>397</v>
      </c>
      <c r="K130" t="s">
        <v>398</v>
      </c>
      <c r="L130" s="2" t="s">
        <v>86</v>
      </c>
      <c r="M130" s="1">
        <v>45995</v>
      </c>
      <c r="N130" s="1">
        <v>46029</v>
      </c>
      <c r="O130" s="1">
        <v>46022</v>
      </c>
      <c r="Q130">
        <v>0</v>
      </c>
      <c r="R130">
        <v>0</v>
      </c>
      <c r="S130">
        <v>0</v>
      </c>
      <c r="T130" s="2">
        <v>0</v>
      </c>
      <c r="U130" s="2">
        <v>0</v>
      </c>
      <c r="V130" s="2">
        <v>0</v>
      </c>
      <c r="W130" s="2">
        <v>81.680000000000007</v>
      </c>
      <c r="X130">
        <v>0</v>
      </c>
      <c r="Y130">
        <v>20.079999999999998</v>
      </c>
      <c r="Z130">
        <v>0</v>
      </c>
      <c r="AA130">
        <v>9.91</v>
      </c>
      <c r="AB130">
        <v>44.83</v>
      </c>
      <c r="AC130">
        <v>1.68</v>
      </c>
      <c r="AD130" s="2">
        <v>76.5</v>
      </c>
      <c r="AE130">
        <v>5.18</v>
      </c>
      <c r="AF130">
        <v>6.34</v>
      </c>
      <c r="AG130">
        <v>5.18</v>
      </c>
      <c r="AH130">
        <v>6.34</v>
      </c>
      <c r="AI130">
        <v>0</v>
      </c>
      <c r="AJ130">
        <v>1.51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81.680000000000007</v>
      </c>
      <c r="AR130">
        <v>81.680000000000007</v>
      </c>
      <c r="AS130">
        <v>76.5</v>
      </c>
      <c r="AT130">
        <v>0</v>
      </c>
      <c r="AU130">
        <v>5.18</v>
      </c>
      <c r="AV130">
        <v>6.34</v>
      </c>
    </row>
    <row r="131" spans="1:48" hidden="1" x14ac:dyDescent="0.2">
      <c r="A131">
        <v>102</v>
      </c>
      <c r="B131" t="s">
        <v>192</v>
      </c>
      <c r="C131" t="s">
        <v>193</v>
      </c>
      <c r="D131" t="s">
        <v>194</v>
      </c>
      <c r="E131" t="s">
        <v>195</v>
      </c>
      <c r="F131">
        <v>125</v>
      </c>
      <c r="G131" t="s">
        <v>399</v>
      </c>
      <c r="H131" t="s">
        <v>51</v>
      </c>
      <c r="I131" t="s">
        <v>122</v>
      </c>
      <c r="J131" s="2" t="s">
        <v>400</v>
      </c>
      <c r="K131" t="s">
        <v>401</v>
      </c>
      <c r="L131" s="2" t="s">
        <v>86</v>
      </c>
      <c r="M131" s="1">
        <v>45930</v>
      </c>
      <c r="N131" s="1">
        <v>45930</v>
      </c>
      <c r="O131" s="1">
        <v>45930</v>
      </c>
      <c r="Q131">
        <v>2594</v>
      </c>
      <c r="R131">
        <v>1933</v>
      </c>
      <c r="S131">
        <v>0</v>
      </c>
      <c r="T131" s="2">
        <v>0</v>
      </c>
      <c r="U131" s="2">
        <v>0</v>
      </c>
      <c r="V131" s="2">
        <v>0</v>
      </c>
      <c r="W131" s="2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 s="2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2594</v>
      </c>
      <c r="AS131">
        <v>2019.49</v>
      </c>
      <c r="AT131">
        <v>0</v>
      </c>
      <c r="AU131">
        <v>574.51</v>
      </c>
      <c r="AV131">
        <v>22.15</v>
      </c>
    </row>
    <row r="132" spans="1:48" x14ac:dyDescent="0.2">
      <c r="A132">
        <v>102</v>
      </c>
      <c r="B132" t="s">
        <v>192</v>
      </c>
      <c r="C132" t="s">
        <v>193</v>
      </c>
      <c r="D132" t="s">
        <v>194</v>
      </c>
      <c r="E132" t="s">
        <v>195</v>
      </c>
      <c r="F132">
        <v>128</v>
      </c>
      <c r="G132" s="3" t="s">
        <v>402</v>
      </c>
      <c r="H132" t="s">
        <v>51</v>
      </c>
      <c r="I132" t="s">
        <v>52</v>
      </c>
      <c r="J132" s="2" t="s">
        <v>403</v>
      </c>
      <c r="K132" t="s">
        <v>404</v>
      </c>
      <c r="L132" s="2" t="s">
        <v>55</v>
      </c>
      <c r="M132" s="1">
        <v>45833</v>
      </c>
      <c r="N132" s="1">
        <v>45960</v>
      </c>
      <c r="O132" s="1">
        <v>46022</v>
      </c>
      <c r="Q132">
        <v>27223.7</v>
      </c>
      <c r="R132">
        <v>21962.48</v>
      </c>
      <c r="S132">
        <v>22909.119999999999</v>
      </c>
      <c r="T132" s="2">
        <v>0</v>
      </c>
      <c r="U132" s="2">
        <v>0</v>
      </c>
      <c r="V132" s="2">
        <v>0</v>
      </c>
      <c r="W132" s="2">
        <v>-4314.58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 s="2">
        <v>0</v>
      </c>
      <c r="AE132">
        <v>-4314.58</v>
      </c>
      <c r="AF132">
        <v>100</v>
      </c>
      <c r="AG132">
        <v>-4314.58</v>
      </c>
      <c r="AH132">
        <v>100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-4314.58</v>
      </c>
      <c r="AR132">
        <v>22909.119999999999</v>
      </c>
      <c r="AS132">
        <v>10576.21</v>
      </c>
      <c r="AT132">
        <v>0</v>
      </c>
      <c r="AU132">
        <v>12332.91</v>
      </c>
      <c r="AV132">
        <v>53.83</v>
      </c>
    </row>
    <row r="133" spans="1:48" hidden="1" x14ac:dyDescent="0.2">
      <c r="A133">
        <v>102</v>
      </c>
      <c r="B133" t="s">
        <v>192</v>
      </c>
      <c r="C133" t="s">
        <v>193</v>
      </c>
      <c r="D133" t="s">
        <v>194</v>
      </c>
      <c r="E133" t="s">
        <v>195</v>
      </c>
      <c r="F133">
        <v>128</v>
      </c>
      <c r="G133" t="s">
        <v>402</v>
      </c>
      <c r="H133" t="s">
        <v>68</v>
      </c>
      <c r="I133" t="s">
        <v>69</v>
      </c>
      <c r="J133" s="2" t="s">
        <v>405</v>
      </c>
      <c r="K133" t="s">
        <v>406</v>
      </c>
      <c r="L133" s="2" t="s">
        <v>86</v>
      </c>
      <c r="M133" s="1">
        <v>46013</v>
      </c>
      <c r="N133" s="1">
        <v>46030</v>
      </c>
      <c r="O133" s="1">
        <v>46022</v>
      </c>
      <c r="Q133">
        <v>0</v>
      </c>
      <c r="R133">
        <v>0</v>
      </c>
      <c r="S133">
        <v>0</v>
      </c>
      <c r="T133" s="2">
        <v>0</v>
      </c>
      <c r="U133" s="2">
        <v>0</v>
      </c>
      <c r="V133" s="2">
        <v>0</v>
      </c>
      <c r="W133" s="2">
        <v>83.56</v>
      </c>
      <c r="X133">
        <v>0</v>
      </c>
      <c r="Y133">
        <v>7.04</v>
      </c>
      <c r="Z133">
        <v>0</v>
      </c>
      <c r="AA133">
        <v>17.760000000000002</v>
      </c>
      <c r="AB133">
        <v>9.33</v>
      </c>
      <c r="AC133">
        <v>1.52</v>
      </c>
      <c r="AD133" s="2">
        <v>35.65</v>
      </c>
      <c r="AE133">
        <v>47.91</v>
      </c>
      <c r="AF133">
        <v>57.34</v>
      </c>
      <c r="AG133">
        <v>47.91</v>
      </c>
      <c r="AH133">
        <v>57.34</v>
      </c>
      <c r="AI133">
        <v>0</v>
      </c>
      <c r="AJ133">
        <v>0.89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83.56</v>
      </c>
      <c r="AR133">
        <v>83.56</v>
      </c>
      <c r="AS133">
        <v>35.65</v>
      </c>
      <c r="AT133">
        <v>0</v>
      </c>
      <c r="AU133">
        <v>47.91</v>
      </c>
      <c r="AV133">
        <v>57.34</v>
      </c>
    </row>
    <row r="134" spans="1:48" hidden="1" x14ac:dyDescent="0.2">
      <c r="A134">
        <v>102</v>
      </c>
      <c r="B134" t="s">
        <v>192</v>
      </c>
      <c r="C134" t="s">
        <v>193</v>
      </c>
      <c r="D134" t="s">
        <v>194</v>
      </c>
      <c r="E134" t="s">
        <v>195</v>
      </c>
      <c r="F134">
        <v>130</v>
      </c>
      <c r="G134" t="s">
        <v>407</v>
      </c>
      <c r="H134" t="s">
        <v>68</v>
      </c>
      <c r="I134" t="s">
        <v>69</v>
      </c>
      <c r="J134" s="2" t="s">
        <v>408</v>
      </c>
      <c r="K134" t="s">
        <v>409</v>
      </c>
      <c r="L134" s="2" t="s">
        <v>86</v>
      </c>
      <c r="M134" s="1">
        <v>45993</v>
      </c>
      <c r="N134" s="1">
        <v>46031</v>
      </c>
      <c r="O134" s="1">
        <v>46022</v>
      </c>
      <c r="Q134">
        <v>0</v>
      </c>
      <c r="R134">
        <v>0</v>
      </c>
      <c r="S134">
        <v>0</v>
      </c>
      <c r="T134" s="2">
        <v>0</v>
      </c>
      <c r="U134" s="2">
        <v>0</v>
      </c>
      <c r="V134" s="2">
        <v>0</v>
      </c>
      <c r="W134" s="2">
        <v>74.22</v>
      </c>
      <c r="X134">
        <v>0</v>
      </c>
      <c r="Y134">
        <v>0.16</v>
      </c>
      <c r="Z134">
        <v>0</v>
      </c>
      <c r="AA134">
        <v>14.32</v>
      </c>
      <c r="AB134">
        <v>37.82</v>
      </c>
      <c r="AC134">
        <v>2.52</v>
      </c>
      <c r="AD134" s="2">
        <v>54.82</v>
      </c>
      <c r="AE134">
        <v>19.399999999999999</v>
      </c>
      <c r="AF134">
        <v>26.14</v>
      </c>
      <c r="AG134">
        <v>19.399999999999999</v>
      </c>
      <c r="AH134">
        <v>26.14</v>
      </c>
      <c r="AI134">
        <v>0</v>
      </c>
      <c r="AJ134">
        <v>1.43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74.22</v>
      </c>
      <c r="AR134">
        <v>74.22</v>
      </c>
      <c r="AS134">
        <v>54.82</v>
      </c>
      <c r="AT134">
        <v>0</v>
      </c>
      <c r="AU134">
        <v>19.399999999999999</v>
      </c>
      <c r="AV134">
        <v>26.14</v>
      </c>
    </row>
    <row r="135" spans="1:48" hidden="1" x14ac:dyDescent="0.2">
      <c r="A135">
        <v>102</v>
      </c>
      <c r="B135" t="s">
        <v>192</v>
      </c>
      <c r="C135" t="s">
        <v>193</v>
      </c>
      <c r="D135" t="s">
        <v>194</v>
      </c>
      <c r="E135" t="s">
        <v>195</v>
      </c>
      <c r="F135">
        <v>130</v>
      </c>
      <c r="G135" t="s">
        <v>407</v>
      </c>
      <c r="H135" t="s">
        <v>68</v>
      </c>
      <c r="I135" t="s">
        <v>69</v>
      </c>
      <c r="J135" s="2" t="s">
        <v>410</v>
      </c>
      <c r="K135" t="s">
        <v>411</v>
      </c>
      <c r="L135" s="2" t="s">
        <v>86</v>
      </c>
      <c r="M135" s="1">
        <v>46014</v>
      </c>
      <c r="N135" s="1">
        <v>46031</v>
      </c>
      <c r="O135" s="1">
        <v>46022</v>
      </c>
      <c r="Q135">
        <v>0</v>
      </c>
      <c r="R135">
        <v>0</v>
      </c>
      <c r="S135">
        <v>0</v>
      </c>
      <c r="T135" s="2">
        <v>0</v>
      </c>
      <c r="U135" s="2">
        <v>0</v>
      </c>
      <c r="V135" s="2">
        <v>0</v>
      </c>
      <c r="W135" s="2">
        <v>74</v>
      </c>
      <c r="X135">
        <v>0</v>
      </c>
      <c r="Y135">
        <v>0</v>
      </c>
      <c r="Z135">
        <v>0</v>
      </c>
      <c r="AA135">
        <v>14.46</v>
      </c>
      <c r="AB135">
        <v>16.79</v>
      </c>
      <c r="AC135">
        <v>1.1499999999999999</v>
      </c>
      <c r="AD135" s="2">
        <v>32.4</v>
      </c>
      <c r="AE135">
        <v>41.6</v>
      </c>
      <c r="AF135">
        <v>56.22</v>
      </c>
      <c r="AG135">
        <v>41.6</v>
      </c>
      <c r="AH135">
        <v>56.22</v>
      </c>
      <c r="AI135">
        <v>0</v>
      </c>
      <c r="AJ135">
        <v>0.88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74</v>
      </c>
      <c r="AR135">
        <v>74</v>
      </c>
      <c r="AS135">
        <v>32.4</v>
      </c>
      <c r="AT135">
        <v>0</v>
      </c>
      <c r="AU135">
        <v>41.6</v>
      </c>
      <c r="AV135">
        <v>56.22</v>
      </c>
    </row>
    <row r="136" spans="1:48" hidden="1" x14ac:dyDescent="0.2">
      <c r="A136">
        <v>102</v>
      </c>
      <c r="B136" t="s">
        <v>192</v>
      </c>
      <c r="C136" t="s">
        <v>193</v>
      </c>
      <c r="D136" t="s">
        <v>194</v>
      </c>
      <c r="E136" t="s">
        <v>195</v>
      </c>
      <c r="F136">
        <v>131</v>
      </c>
      <c r="G136" t="s">
        <v>412</v>
      </c>
      <c r="H136" t="s">
        <v>68</v>
      </c>
      <c r="I136" t="s">
        <v>69</v>
      </c>
      <c r="J136" s="2" t="s">
        <v>413</v>
      </c>
      <c r="K136" t="s">
        <v>414</v>
      </c>
      <c r="L136" s="2" t="s">
        <v>86</v>
      </c>
      <c r="M136" s="1">
        <v>45994</v>
      </c>
      <c r="N136" s="1">
        <v>46029</v>
      </c>
      <c r="O136" s="1">
        <v>46022</v>
      </c>
      <c r="Q136">
        <v>0</v>
      </c>
      <c r="R136">
        <v>0</v>
      </c>
      <c r="S136">
        <v>0</v>
      </c>
      <c r="T136" s="2">
        <v>0</v>
      </c>
      <c r="U136" s="2">
        <v>0</v>
      </c>
      <c r="V136" s="2">
        <v>0</v>
      </c>
      <c r="W136" s="2">
        <v>91</v>
      </c>
      <c r="X136">
        <v>0</v>
      </c>
      <c r="Y136">
        <v>0</v>
      </c>
      <c r="Z136">
        <v>0</v>
      </c>
      <c r="AA136">
        <v>26.43</v>
      </c>
      <c r="AB136">
        <v>15.89</v>
      </c>
      <c r="AC136">
        <v>2.14</v>
      </c>
      <c r="AD136" s="2">
        <v>44.46</v>
      </c>
      <c r="AE136">
        <v>46.54</v>
      </c>
      <c r="AF136">
        <v>51.14</v>
      </c>
      <c r="AG136">
        <v>46.54</v>
      </c>
      <c r="AH136">
        <v>51.14</v>
      </c>
      <c r="AI136">
        <v>0</v>
      </c>
      <c r="AJ136">
        <v>1.47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91</v>
      </c>
      <c r="AR136">
        <v>91</v>
      </c>
      <c r="AS136">
        <v>44.46</v>
      </c>
      <c r="AT136">
        <v>0</v>
      </c>
      <c r="AU136">
        <v>46.54</v>
      </c>
      <c r="AV136">
        <v>51.14</v>
      </c>
    </row>
    <row r="137" spans="1:48" hidden="1" x14ac:dyDescent="0.2">
      <c r="A137">
        <v>102</v>
      </c>
      <c r="B137" t="s">
        <v>192</v>
      </c>
      <c r="C137" t="s">
        <v>193</v>
      </c>
      <c r="D137" t="s">
        <v>194</v>
      </c>
      <c r="E137" t="s">
        <v>195</v>
      </c>
      <c r="F137">
        <v>131</v>
      </c>
      <c r="G137" t="s">
        <v>412</v>
      </c>
      <c r="H137" t="s">
        <v>68</v>
      </c>
      <c r="I137" t="s">
        <v>69</v>
      </c>
      <c r="J137" s="2" t="s">
        <v>415</v>
      </c>
      <c r="K137" t="s">
        <v>416</v>
      </c>
      <c r="L137" s="2" t="s">
        <v>86</v>
      </c>
      <c r="M137" s="1">
        <v>46017</v>
      </c>
      <c r="N137" s="1">
        <v>46031</v>
      </c>
      <c r="O137" s="1">
        <v>46022</v>
      </c>
      <c r="Q137">
        <v>0</v>
      </c>
      <c r="R137">
        <v>0</v>
      </c>
      <c r="S137">
        <v>0</v>
      </c>
      <c r="T137" s="2">
        <v>0</v>
      </c>
      <c r="U137" s="2">
        <v>0</v>
      </c>
      <c r="V137" s="2">
        <v>0</v>
      </c>
      <c r="W137" s="2">
        <v>156</v>
      </c>
      <c r="X137">
        <v>0</v>
      </c>
      <c r="Y137">
        <v>22.45</v>
      </c>
      <c r="Z137">
        <v>0</v>
      </c>
      <c r="AA137">
        <v>38.409999999999997</v>
      </c>
      <c r="AB137">
        <v>21.84</v>
      </c>
      <c r="AC137">
        <v>2.73</v>
      </c>
      <c r="AD137" s="2">
        <v>85.43</v>
      </c>
      <c r="AE137">
        <v>70.569999999999993</v>
      </c>
      <c r="AF137">
        <v>45.24</v>
      </c>
      <c r="AG137">
        <v>70.569999999999993</v>
      </c>
      <c r="AH137">
        <v>45.24</v>
      </c>
      <c r="AI137">
        <v>0</v>
      </c>
      <c r="AJ137">
        <v>2.12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156</v>
      </c>
      <c r="AR137">
        <v>156</v>
      </c>
      <c r="AS137">
        <v>85.43</v>
      </c>
      <c r="AT137">
        <v>0</v>
      </c>
      <c r="AU137">
        <v>70.569999999999993</v>
      </c>
      <c r="AV137">
        <v>45.24</v>
      </c>
    </row>
    <row r="138" spans="1:48" hidden="1" x14ac:dyDescent="0.2">
      <c r="A138">
        <v>102</v>
      </c>
      <c r="B138" t="s">
        <v>192</v>
      </c>
      <c r="C138" t="s">
        <v>193</v>
      </c>
      <c r="D138" t="s">
        <v>194</v>
      </c>
      <c r="E138" t="s">
        <v>195</v>
      </c>
      <c r="F138">
        <v>131</v>
      </c>
      <c r="G138" t="s">
        <v>412</v>
      </c>
      <c r="H138" t="s">
        <v>68</v>
      </c>
      <c r="I138" t="s">
        <v>69</v>
      </c>
      <c r="J138" s="2" t="s">
        <v>417</v>
      </c>
      <c r="K138" t="s">
        <v>418</v>
      </c>
      <c r="L138" s="2" t="s">
        <v>86</v>
      </c>
      <c r="M138" s="1">
        <v>46020</v>
      </c>
      <c r="N138" s="1">
        <v>46033</v>
      </c>
      <c r="O138" s="1">
        <v>46022</v>
      </c>
      <c r="Q138">
        <v>0</v>
      </c>
      <c r="R138">
        <v>0</v>
      </c>
      <c r="S138">
        <v>0</v>
      </c>
      <c r="T138" s="2">
        <v>0</v>
      </c>
      <c r="U138" s="2">
        <v>0</v>
      </c>
      <c r="V138" s="2">
        <v>0</v>
      </c>
      <c r="W138" s="2">
        <v>74</v>
      </c>
      <c r="X138">
        <v>0</v>
      </c>
      <c r="Y138">
        <v>0</v>
      </c>
      <c r="Z138">
        <v>0</v>
      </c>
      <c r="AA138">
        <v>16.11</v>
      </c>
      <c r="AB138">
        <v>23.66</v>
      </c>
      <c r="AC138">
        <v>2.52</v>
      </c>
      <c r="AD138" s="2">
        <v>42.29</v>
      </c>
      <c r="AE138">
        <v>31.71</v>
      </c>
      <c r="AF138">
        <v>42.85</v>
      </c>
      <c r="AG138">
        <v>31.71</v>
      </c>
      <c r="AH138">
        <v>42.85</v>
      </c>
      <c r="AI138">
        <v>0</v>
      </c>
      <c r="AJ138">
        <v>1.5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74</v>
      </c>
      <c r="AR138">
        <v>74</v>
      </c>
      <c r="AS138">
        <v>42.29</v>
      </c>
      <c r="AT138">
        <v>0</v>
      </c>
      <c r="AU138">
        <v>31.71</v>
      </c>
      <c r="AV138">
        <v>42.85</v>
      </c>
    </row>
    <row r="139" spans="1:48" hidden="1" x14ac:dyDescent="0.2">
      <c r="A139">
        <v>102</v>
      </c>
      <c r="B139" t="s">
        <v>192</v>
      </c>
      <c r="C139" t="s">
        <v>193</v>
      </c>
      <c r="D139" t="s">
        <v>194</v>
      </c>
      <c r="E139" t="s">
        <v>195</v>
      </c>
      <c r="F139">
        <v>133</v>
      </c>
      <c r="G139" t="s">
        <v>419</v>
      </c>
      <c r="H139" t="s">
        <v>68</v>
      </c>
      <c r="I139" t="s">
        <v>69</v>
      </c>
      <c r="J139" s="2" t="s">
        <v>420</v>
      </c>
      <c r="K139" t="s">
        <v>421</v>
      </c>
      <c r="L139" s="2" t="s">
        <v>86</v>
      </c>
      <c r="M139" s="1">
        <v>46002</v>
      </c>
      <c r="N139" s="1">
        <v>46030</v>
      </c>
      <c r="O139" s="1">
        <v>46022</v>
      </c>
      <c r="Q139">
        <v>0</v>
      </c>
      <c r="R139">
        <v>0</v>
      </c>
      <c r="S139">
        <v>0</v>
      </c>
      <c r="T139" s="2">
        <v>0</v>
      </c>
      <c r="U139" s="2">
        <v>0</v>
      </c>
      <c r="V139" s="2">
        <v>0</v>
      </c>
      <c r="W139" s="2">
        <v>472.91</v>
      </c>
      <c r="X139">
        <v>0</v>
      </c>
      <c r="Y139">
        <v>87.41</v>
      </c>
      <c r="Z139">
        <v>0</v>
      </c>
      <c r="AA139">
        <v>113.28</v>
      </c>
      <c r="AB139">
        <v>180</v>
      </c>
      <c r="AC139">
        <v>10.32</v>
      </c>
      <c r="AD139" s="2">
        <v>391.01</v>
      </c>
      <c r="AE139">
        <v>81.900000000000006</v>
      </c>
      <c r="AF139">
        <v>17.32</v>
      </c>
      <c r="AG139">
        <v>81.900000000000006</v>
      </c>
      <c r="AH139">
        <v>17.32</v>
      </c>
      <c r="AI139">
        <v>0</v>
      </c>
      <c r="AJ139">
        <v>9.56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472.91</v>
      </c>
      <c r="AR139">
        <v>472.91</v>
      </c>
      <c r="AS139">
        <v>391.01</v>
      </c>
      <c r="AT139">
        <v>0</v>
      </c>
      <c r="AU139">
        <v>81.900000000000006</v>
      </c>
      <c r="AV139">
        <v>17.32</v>
      </c>
    </row>
    <row r="140" spans="1:48" hidden="1" x14ac:dyDescent="0.2">
      <c r="A140">
        <v>102</v>
      </c>
      <c r="B140" t="s">
        <v>192</v>
      </c>
      <c r="C140" t="s">
        <v>193</v>
      </c>
      <c r="D140" t="s">
        <v>194</v>
      </c>
      <c r="E140" t="s">
        <v>195</v>
      </c>
      <c r="F140">
        <v>135</v>
      </c>
      <c r="G140" t="s">
        <v>422</v>
      </c>
      <c r="H140" t="s">
        <v>68</v>
      </c>
      <c r="I140" t="s">
        <v>69</v>
      </c>
      <c r="J140" s="2" t="s">
        <v>423</v>
      </c>
      <c r="K140" t="s">
        <v>424</v>
      </c>
      <c r="L140" s="2" t="s">
        <v>86</v>
      </c>
      <c r="M140" s="1">
        <v>46010</v>
      </c>
      <c r="N140" s="1">
        <v>46030</v>
      </c>
      <c r="O140" s="1">
        <v>46022</v>
      </c>
      <c r="Q140">
        <v>0</v>
      </c>
      <c r="R140">
        <v>0</v>
      </c>
      <c r="S140">
        <v>0</v>
      </c>
      <c r="T140" s="2">
        <v>0</v>
      </c>
      <c r="U140" s="2">
        <v>0</v>
      </c>
      <c r="V140" s="2">
        <v>0</v>
      </c>
      <c r="W140" s="2">
        <v>221.5</v>
      </c>
      <c r="X140">
        <v>0</v>
      </c>
      <c r="Y140">
        <v>51.74</v>
      </c>
      <c r="Z140">
        <v>0</v>
      </c>
      <c r="AA140">
        <v>26.02</v>
      </c>
      <c r="AB140">
        <v>0.26</v>
      </c>
      <c r="AC140">
        <v>1.82</v>
      </c>
      <c r="AD140" s="2">
        <v>79.84</v>
      </c>
      <c r="AE140">
        <v>141.66</v>
      </c>
      <c r="AF140">
        <v>63.95</v>
      </c>
      <c r="AG140">
        <v>141.66</v>
      </c>
      <c r="AH140">
        <v>63.95</v>
      </c>
      <c r="AI140">
        <v>0</v>
      </c>
      <c r="AJ140">
        <v>1.05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221.5</v>
      </c>
      <c r="AR140">
        <v>221.5</v>
      </c>
      <c r="AS140">
        <v>79.84</v>
      </c>
      <c r="AT140">
        <v>0</v>
      </c>
      <c r="AU140">
        <v>141.66</v>
      </c>
      <c r="AV140">
        <v>63.95</v>
      </c>
    </row>
    <row r="141" spans="1:48" hidden="1" x14ac:dyDescent="0.2">
      <c r="A141">
        <v>102</v>
      </c>
      <c r="B141" t="s">
        <v>192</v>
      </c>
      <c r="C141" t="s">
        <v>193</v>
      </c>
      <c r="D141" t="s">
        <v>194</v>
      </c>
      <c r="E141" t="s">
        <v>195</v>
      </c>
      <c r="F141">
        <v>135</v>
      </c>
      <c r="G141" t="s">
        <v>422</v>
      </c>
      <c r="H141" t="s">
        <v>68</v>
      </c>
      <c r="I141" t="s">
        <v>69</v>
      </c>
      <c r="J141" s="2" t="s">
        <v>425</v>
      </c>
      <c r="K141" t="s">
        <v>426</v>
      </c>
      <c r="L141" s="2" t="s">
        <v>86</v>
      </c>
      <c r="M141" s="1">
        <v>46020</v>
      </c>
      <c r="N141" s="1">
        <v>46034</v>
      </c>
      <c r="O141" s="1">
        <v>46022</v>
      </c>
      <c r="Q141">
        <v>0</v>
      </c>
      <c r="R141">
        <v>0</v>
      </c>
      <c r="S141">
        <v>0</v>
      </c>
      <c r="T141" s="2">
        <v>0</v>
      </c>
      <c r="U141" s="2">
        <v>0</v>
      </c>
      <c r="V141" s="2">
        <v>0</v>
      </c>
      <c r="W141" s="2">
        <v>1263.83</v>
      </c>
      <c r="X141">
        <v>0</v>
      </c>
      <c r="Y141">
        <v>636.12</v>
      </c>
      <c r="Z141">
        <v>0</v>
      </c>
      <c r="AA141">
        <v>65.67</v>
      </c>
      <c r="AB141">
        <v>34.85</v>
      </c>
      <c r="AC141">
        <v>6.36</v>
      </c>
      <c r="AD141" s="2">
        <v>743</v>
      </c>
      <c r="AE141">
        <v>520.83000000000004</v>
      </c>
      <c r="AF141">
        <v>41.21</v>
      </c>
      <c r="AG141">
        <v>520.83000000000004</v>
      </c>
      <c r="AH141">
        <v>41.21</v>
      </c>
      <c r="AI141">
        <v>0</v>
      </c>
      <c r="AJ141">
        <v>3.42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1263.83</v>
      </c>
      <c r="AR141">
        <v>1263.83</v>
      </c>
      <c r="AS141">
        <v>743</v>
      </c>
      <c r="AT141">
        <v>0</v>
      </c>
      <c r="AU141">
        <v>520.83000000000004</v>
      </c>
      <c r="AV141">
        <v>41.21</v>
      </c>
    </row>
    <row r="142" spans="1:48" hidden="1" x14ac:dyDescent="0.2">
      <c r="A142">
        <v>102</v>
      </c>
      <c r="B142" t="s">
        <v>192</v>
      </c>
      <c r="C142" t="s">
        <v>193</v>
      </c>
      <c r="D142" t="s">
        <v>194</v>
      </c>
      <c r="E142" t="s">
        <v>195</v>
      </c>
      <c r="F142">
        <v>135</v>
      </c>
      <c r="G142" t="s">
        <v>422</v>
      </c>
      <c r="H142" t="s">
        <v>68</v>
      </c>
      <c r="I142" t="s">
        <v>69</v>
      </c>
      <c r="J142" s="2" t="s">
        <v>427</v>
      </c>
      <c r="K142" t="s">
        <v>428</v>
      </c>
      <c r="L142" s="2" t="s">
        <v>86</v>
      </c>
      <c r="M142" s="1">
        <v>46021</v>
      </c>
      <c r="N142" s="1">
        <v>46034</v>
      </c>
      <c r="O142" s="1">
        <v>46022</v>
      </c>
      <c r="Q142">
        <v>0</v>
      </c>
      <c r="R142">
        <v>0</v>
      </c>
      <c r="S142">
        <v>0</v>
      </c>
      <c r="T142" s="2">
        <v>0</v>
      </c>
      <c r="U142" s="2">
        <v>0</v>
      </c>
      <c r="V142" s="2">
        <v>0</v>
      </c>
      <c r="W142" s="2">
        <v>55.12</v>
      </c>
      <c r="X142">
        <v>0</v>
      </c>
      <c r="Y142">
        <v>9.5500000000000007</v>
      </c>
      <c r="Z142">
        <v>0</v>
      </c>
      <c r="AA142">
        <v>13.22</v>
      </c>
      <c r="AB142">
        <v>0</v>
      </c>
      <c r="AC142">
        <v>0.93</v>
      </c>
      <c r="AD142" s="2">
        <v>23.7</v>
      </c>
      <c r="AE142">
        <v>31.42</v>
      </c>
      <c r="AF142">
        <v>57</v>
      </c>
      <c r="AG142">
        <v>31.42</v>
      </c>
      <c r="AH142">
        <v>57</v>
      </c>
      <c r="AI142">
        <v>0</v>
      </c>
      <c r="AJ142">
        <v>0.53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55.12</v>
      </c>
      <c r="AR142">
        <v>55.12</v>
      </c>
      <c r="AS142">
        <v>23.7</v>
      </c>
      <c r="AT142">
        <v>0</v>
      </c>
      <c r="AU142">
        <v>31.42</v>
      </c>
      <c r="AV142">
        <v>57</v>
      </c>
    </row>
    <row r="143" spans="1:48" hidden="1" x14ac:dyDescent="0.2">
      <c r="A143">
        <v>102</v>
      </c>
      <c r="B143" t="s">
        <v>192</v>
      </c>
      <c r="C143" t="s">
        <v>193</v>
      </c>
      <c r="D143" t="s">
        <v>194</v>
      </c>
      <c r="E143" t="s">
        <v>195</v>
      </c>
      <c r="F143">
        <v>136</v>
      </c>
      <c r="G143" t="s">
        <v>429</v>
      </c>
      <c r="H143" t="s">
        <v>68</v>
      </c>
      <c r="I143" t="s">
        <v>69</v>
      </c>
      <c r="J143" s="2" t="s">
        <v>430</v>
      </c>
      <c r="K143" t="s">
        <v>431</v>
      </c>
      <c r="L143" s="2" t="s">
        <v>86</v>
      </c>
      <c r="M143" s="1">
        <v>46010</v>
      </c>
      <c r="N143" s="1">
        <v>46030</v>
      </c>
      <c r="O143" s="1">
        <v>46022</v>
      </c>
      <c r="Q143">
        <v>0</v>
      </c>
      <c r="R143">
        <v>0</v>
      </c>
      <c r="S143">
        <v>0</v>
      </c>
      <c r="T143" s="2">
        <v>0</v>
      </c>
      <c r="U143" s="2">
        <v>0</v>
      </c>
      <c r="V143" s="2">
        <v>0</v>
      </c>
      <c r="W143" s="2">
        <v>173</v>
      </c>
      <c r="X143">
        <v>0</v>
      </c>
      <c r="Y143">
        <v>0</v>
      </c>
      <c r="Z143">
        <v>0</v>
      </c>
      <c r="AA143">
        <v>75.17</v>
      </c>
      <c r="AB143">
        <v>19.41</v>
      </c>
      <c r="AC143">
        <v>8.9600000000000009</v>
      </c>
      <c r="AD143" s="2">
        <v>103.54</v>
      </c>
      <c r="AE143">
        <v>69.459999999999994</v>
      </c>
      <c r="AF143">
        <v>40.15</v>
      </c>
      <c r="AG143">
        <v>69.459999999999994</v>
      </c>
      <c r="AH143">
        <v>40.15</v>
      </c>
      <c r="AI143">
        <v>0</v>
      </c>
      <c r="AJ143">
        <v>3.53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173</v>
      </c>
      <c r="AR143">
        <v>173</v>
      </c>
      <c r="AS143">
        <v>103.54</v>
      </c>
      <c r="AT143">
        <v>0</v>
      </c>
      <c r="AU143">
        <v>69.459999999999994</v>
      </c>
      <c r="AV143">
        <v>40.15</v>
      </c>
    </row>
    <row r="144" spans="1:48" hidden="1" x14ac:dyDescent="0.2">
      <c r="A144">
        <v>102</v>
      </c>
      <c r="B144" t="s">
        <v>192</v>
      </c>
      <c r="C144" t="s">
        <v>193</v>
      </c>
      <c r="D144" t="s">
        <v>194</v>
      </c>
      <c r="E144" t="s">
        <v>195</v>
      </c>
      <c r="F144">
        <v>138</v>
      </c>
      <c r="G144" t="s">
        <v>432</v>
      </c>
      <c r="H144" t="s">
        <v>68</v>
      </c>
      <c r="I144" t="s">
        <v>69</v>
      </c>
      <c r="J144" s="2" t="s">
        <v>433</v>
      </c>
      <c r="K144" t="s">
        <v>434</v>
      </c>
      <c r="L144" s="2" t="s">
        <v>86</v>
      </c>
      <c r="M144" s="1">
        <v>46009</v>
      </c>
      <c r="N144" s="1">
        <v>46030</v>
      </c>
      <c r="O144" s="1">
        <v>46022</v>
      </c>
      <c r="Q144">
        <v>0</v>
      </c>
      <c r="R144">
        <v>0</v>
      </c>
      <c r="S144">
        <v>0</v>
      </c>
      <c r="T144" s="2">
        <v>0</v>
      </c>
      <c r="U144" s="2">
        <v>0</v>
      </c>
      <c r="V144" s="2">
        <v>0</v>
      </c>
      <c r="W144" s="2">
        <v>184.4</v>
      </c>
      <c r="X144">
        <v>0</v>
      </c>
      <c r="Y144">
        <v>8.06</v>
      </c>
      <c r="Z144">
        <v>0</v>
      </c>
      <c r="AA144">
        <v>84.67</v>
      </c>
      <c r="AB144">
        <v>27.93</v>
      </c>
      <c r="AC144">
        <v>10.64</v>
      </c>
      <c r="AD144" s="2">
        <v>131.30000000000001</v>
      </c>
      <c r="AE144">
        <v>53.1</v>
      </c>
      <c r="AF144">
        <v>28.8</v>
      </c>
      <c r="AG144">
        <v>53.1</v>
      </c>
      <c r="AH144">
        <v>28.8</v>
      </c>
      <c r="AI144">
        <v>0</v>
      </c>
      <c r="AJ144">
        <v>4.25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184.4</v>
      </c>
      <c r="AR144">
        <v>184.4</v>
      </c>
      <c r="AS144">
        <v>131.30000000000001</v>
      </c>
      <c r="AT144">
        <v>0</v>
      </c>
      <c r="AU144">
        <v>53.1</v>
      </c>
      <c r="AV144">
        <v>28.8</v>
      </c>
    </row>
    <row r="145" spans="1:48" hidden="1" x14ac:dyDescent="0.2">
      <c r="A145">
        <v>102</v>
      </c>
      <c r="B145" t="s">
        <v>192</v>
      </c>
      <c r="C145" t="s">
        <v>193</v>
      </c>
      <c r="D145" t="s">
        <v>194</v>
      </c>
      <c r="E145" t="s">
        <v>195</v>
      </c>
      <c r="F145">
        <v>141</v>
      </c>
      <c r="G145" t="s">
        <v>435</v>
      </c>
      <c r="H145" t="s">
        <v>436</v>
      </c>
      <c r="I145" t="s">
        <v>122</v>
      </c>
      <c r="J145" s="2" t="s">
        <v>437</v>
      </c>
      <c r="K145" t="s">
        <v>438</v>
      </c>
      <c r="L145" s="2" t="s">
        <v>63</v>
      </c>
      <c r="M145" s="1">
        <v>45915</v>
      </c>
      <c r="N145" t="s">
        <v>64</v>
      </c>
      <c r="O145" t="s">
        <v>64</v>
      </c>
      <c r="Q145">
        <v>8175</v>
      </c>
      <c r="R145">
        <v>5001</v>
      </c>
      <c r="S145">
        <v>0</v>
      </c>
      <c r="T145" s="2">
        <v>0</v>
      </c>
      <c r="U145" s="2">
        <v>0</v>
      </c>
      <c r="V145" s="2">
        <v>0</v>
      </c>
      <c r="W145" s="2">
        <v>0</v>
      </c>
      <c r="X145">
        <v>0</v>
      </c>
      <c r="Y145">
        <v>0</v>
      </c>
      <c r="Z145">
        <v>2421.83</v>
      </c>
      <c r="AA145">
        <v>183.71</v>
      </c>
      <c r="AB145">
        <v>100.71</v>
      </c>
      <c r="AC145">
        <v>13.7</v>
      </c>
      <c r="AD145" s="2">
        <v>2719.95</v>
      </c>
      <c r="AE145">
        <v>-2719.95</v>
      </c>
      <c r="AF145">
        <v>0</v>
      </c>
      <c r="AG145">
        <v>-2719.95</v>
      </c>
      <c r="AH145">
        <v>0</v>
      </c>
      <c r="AI145">
        <v>0</v>
      </c>
      <c r="AJ145">
        <v>9.6999999999999993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3994.59</v>
      </c>
      <c r="AT145">
        <v>0</v>
      </c>
      <c r="AU145">
        <v>-3994.59</v>
      </c>
      <c r="AV145">
        <v>0</v>
      </c>
    </row>
    <row r="146" spans="1:48" hidden="1" x14ac:dyDescent="0.2">
      <c r="A146">
        <v>102</v>
      </c>
      <c r="B146" t="s">
        <v>192</v>
      </c>
      <c r="C146" t="s">
        <v>193</v>
      </c>
      <c r="D146" t="s">
        <v>194</v>
      </c>
      <c r="E146" t="s">
        <v>195</v>
      </c>
      <c r="F146">
        <v>142</v>
      </c>
      <c r="G146" t="s">
        <v>439</v>
      </c>
      <c r="H146" t="s">
        <v>68</v>
      </c>
      <c r="I146" t="s">
        <v>69</v>
      </c>
      <c r="J146" s="2" t="s">
        <v>440</v>
      </c>
      <c r="K146" t="s">
        <v>441</v>
      </c>
      <c r="L146" s="2" t="s">
        <v>86</v>
      </c>
      <c r="M146" s="1">
        <v>45989</v>
      </c>
      <c r="N146" s="1">
        <v>46029</v>
      </c>
      <c r="O146" s="1">
        <v>46022</v>
      </c>
      <c r="Q146">
        <v>0</v>
      </c>
      <c r="R146">
        <v>0</v>
      </c>
      <c r="S146">
        <v>0</v>
      </c>
      <c r="T146" s="2">
        <v>0</v>
      </c>
      <c r="U146" s="2">
        <v>0</v>
      </c>
      <c r="V146" s="2">
        <v>0</v>
      </c>
      <c r="W146" s="2">
        <v>57</v>
      </c>
      <c r="X146">
        <v>0</v>
      </c>
      <c r="Y146">
        <v>0</v>
      </c>
      <c r="Z146">
        <v>0</v>
      </c>
      <c r="AA146">
        <v>11.56</v>
      </c>
      <c r="AB146">
        <v>34.26</v>
      </c>
      <c r="AC146">
        <v>2.23</v>
      </c>
      <c r="AD146" s="2">
        <v>48.05</v>
      </c>
      <c r="AE146">
        <v>8.9499999999999993</v>
      </c>
      <c r="AF146">
        <v>15.7</v>
      </c>
      <c r="AG146">
        <v>8.9499999999999993</v>
      </c>
      <c r="AH146">
        <v>15.7</v>
      </c>
      <c r="AI146">
        <v>0</v>
      </c>
      <c r="AJ146">
        <v>1.37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57</v>
      </c>
      <c r="AR146">
        <v>57</v>
      </c>
      <c r="AS146">
        <v>48.05</v>
      </c>
      <c r="AT146">
        <v>0</v>
      </c>
      <c r="AU146">
        <v>8.9499999999999993</v>
      </c>
      <c r="AV146">
        <v>15.7</v>
      </c>
    </row>
    <row r="147" spans="1:48" hidden="1" x14ac:dyDescent="0.2">
      <c r="A147">
        <v>102</v>
      </c>
      <c r="B147" t="s">
        <v>192</v>
      </c>
      <c r="C147" t="s">
        <v>193</v>
      </c>
      <c r="D147" t="s">
        <v>194</v>
      </c>
      <c r="E147" t="s">
        <v>195</v>
      </c>
      <c r="F147">
        <v>144</v>
      </c>
      <c r="G147" t="s">
        <v>442</v>
      </c>
      <c r="H147" t="s">
        <v>68</v>
      </c>
      <c r="I147" t="s">
        <v>69</v>
      </c>
      <c r="J147" s="2" t="s">
        <v>443</v>
      </c>
      <c r="K147" t="s">
        <v>444</v>
      </c>
      <c r="L147" s="2" t="s">
        <v>63</v>
      </c>
      <c r="M147" s="1">
        <v>45994</v>
      </c>
      <c r="N147" t="s">
        <v>64</v>
      </c>
      <c r="O147" t="s">
        <v>64</v>
      </c>
      <c r="Q147">
        <v>0</v>
      </c>
      <c r="R147">
        <v>0</v>
      </c>
      <c r="S147">
        <v>0</v>
      </c>
      <c r="T147" s="2">
        <v>108</v>
      </c>
      <c r="U147" s="2">
        <v>0</v>
      </c>
      <c r="V147" s="2">
        <v>0</v>
      </c>
      <c r="W147" s="2">
        <v>0</v>
      </c>
      <c r="X147">
        <v>0</v>
      </c>
      <c r="Y147">
        <v>0</v>
      </c>
      <c r="Z147">
        <v>0</v>
      </c>
      <c r="AA147">
        <v>46.67</v>
      </c>
      <c r="AB147">
        <v>85.95</v>
      </c>
      <c r="AC147">
        <v>5.49</v>
      </c>
      <c r="AD147" s="2">
        <v>138.11000000000001</v>
      </c>
      <c r="AE147">
        <v>-138.11000000000001</v>
      </c>
      <c r="AF147">
        <v>0</v>
      </c>
      <c r="AG147">
        <v>-30.11</v>
      </c>
      <c r="AH147">
        <v>-27.88</v>
      </c>
      <c r="AI147">
        <v>0</v>
      </c>
      <c r="AJ147">
        <v>3.68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138.11000000000001</v>
      </c>
      <c r="AT147">
        <v>0</v>
      </c>
      <c r="AU147">
        <v>-138.11000000000001</v>
      </c>
      <c r="AV147">
        <v>0</v>
      </c>
    </row>
    <row r="148" spans="1:48" hidden="1" x14ac:dyDescent="0.2">
      <c r="A148">
        <v>102</v>
      </c>
      <c r="B148" t="s">
        <v>192</v>
      </c>
      <c r="C148" t="s">
        <v>193</v>
      </c>
      <c r="D148" t="s">
        <v>194</v>
      </c>
      <c r="E148" t="s">
        <v>195</v>
      </c>
      <c r="F148">
        <v>144</v>
      </c>
      <c r="G148" t="s">
        <v>442</v>
      </c>
      <c r="H148" t="s">
        <v>68</v>
      </c>
      <c r="I148" t="s">
        <v>69</v>
      </c>
      <c r="J148" s="2" t="s">
        <v>445</v>
      </c>
      <c r="K148" t="s">
        <v>446</v>
      </c>
      <c r="L148" s="2" t="s">
        <v>86</v>
      </c>
      <c r="M148" s="1">
        <v>45997</v>
      </c>
      <c r="N148" s="1">
        <v>46013</v>
      </c>
      <c r="O148" s="1">
        <v>46022</v>
      </c>
      <c r="Q148">
        <v>0</v>
      </c>
      <c r="R148">
        <v>0</v>
      </c>
      <c r="S148">
        <v>0</v>
      </c>
      <c r="T148" s="2">
        <v>0</v>
      </c>
      <c r="U148" s="2">
        <v>0</v>
      </c>
      <c r="V148" s="2">
        <v>0</v>
      </c>
      <c r="W148" s="2">
        <v>170.25</v>
      </c>
      <c r="X148">
        <v>0</v>
      </c>
      <c r="Y148">
        <v>24.24</v>
      </c>
      <c r="Z148">
        <v>0</v>
      </c>
      <c r="AA148">
        <v>26.43</v>
      </c>
      <c r="AB148">
        <v>146.18</v>
      </c>
      <c r="AC148">
        <v>5.85</v>
      </c>
      <c r="AD148" s="2">
        <v>202.7</v>
      </c>
      <c r="AE148">
        <v>-32.450000000000003</v>
      </c>
      <c r="AF148">
        <v>-19.059999999999999</v>
      </c>
      <c r="AG148">
        <v>-32.450000000000003</v>
      </c>
      <c r="AH148">
        <v>-19.059999999999999</v>
      </c>
      <c r="AI148">
        <v>0</v>
      </c>
      <c r="AJ148">
        <v>4.22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170.25</v>
      </c>
      <c r="AR148">
        <v>170.25</v>
      </c>
      <c r="AS148">
        <v>202.7</v>
      </c>
      <c r="AT148">
        <v>0</v>
      </c>
      <c r="AU148">
        <v>-32.450000000000003</v>
      </c>
      <c r="AV148">
        <v>-19.059999999999999</v>
      </c>
    </row>
    <row r="149" spans="1:48" hidden="1" x14ac:dyDescent="0.2">
      <c r="A149">
        <v>102</v>
      </c>
      <c r="B149" t="s">
        <v>192</v>
      </c>
      <c r="C149" t="s">
        <v>193</v>
      </c>
      <c r="D149" t="s">
        <v>194</v>
      </c>
      <c r="E149" t="s">
        <v>195</v>
      </c>
      <c r="F149">
        <v>145</v>
      </c>
      <c r="G149" t="s">
        <v>447</v>
      </c>
      <c r="H149" t="s">
        <v>68</v>
      </c>
      <c r="I149" t="s">
        <v>69</v>
      </c>
      <c r="J149" s="2" t="s">
        <v>448</v>
      </c>
      <c r="K149" t="s">
        <v>449</v>
      </c>
      <c r="L149" s="2" t="s">
        <v>86</v>
      </c>
      <c r="M149" s="1">
        <v>45993</v>
      </c>
      <c r="N149" s="1">
        <v>46030</v>
      </c>
      <c r="O149" s="1">
        <v>46022</v>
      </c>
      <c r="Q149">
        <v>0</v>
      </c>
      <c r="R149">
        <v>0</v>
      </c>
      <c r="S149">
        <v>0</v>
      </c>
      <c r="T149" s="2">
        <v>0</v>
      </c>
      <c r="U149" s="2">
        <v>0</v>
      </c>
      <c r="V149" s="2">
        <v>0</v>
      </c>
      <c r="W149" s="2">
        <v>257.60000000000002</v>
      </c>
      <c r="X149">
        <v>0</v>
      </c>
      <c r="Y149">
        <v>131.15</v>
      </c>
      <c r="Z149">
        <v>0</v>
      </c>
      <c r="AA149">
        <v>25.61</v>
      </c>
      <c r="AB149">
        <v>0.78</v>
      </c>
      <c r="AC149">
        <v>1.68</v>
      </c>
      <c r="AD149" s="2">
        <v>159.22</v>
      </c>
      <c r="AE149">
        <v>98.38</v>
      </c>
      <c r="AF149">
        <v>38.19</v>
      </c>
      <c r="AG149">
        <v>98.38</v>
      </c>
      <c r="AH149">
        <v>38.19</v>
      </c>
      <c r="AI149">
        <v>0</v>
      </c>
      <c r="AJ149">
        <v>1.03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257.60000000000002</v>
      </c>
      <c r="AR149">
        <v>257.60000000000002</v>
      </c>
      <c r="AS149">
        <v>159.22</v>
      </c>
      <c r="AT149">
        <v>0</v>
      </c>
      <c r="AU149">
        <v>98.38</v>
      </c>
      <c r="AV149">
        <v>38.19</v>
      </c>
    </row>
    <row r="150" spans="1:48" hidden="1" x14ac:dyDescent="0.2">
      <c r="A150">
        <v>102</v>
      </c>
      <c r="B150" t="s">
        <v>192</v>
      </c>
      <c r="C150" t="s">
        <v>193</v>
      </c>
      <c r="D150" t="s">
        <v>194</v>
      </c>
      <c r="E150" t="s">
        <v>195</v>
      </c>
      <c r="F150">
        <v>145</v>
      </c>
      <c r="G150" t="s">
        <v>447</v>
      </c>
      <c r="H150" t="s">
        <v>68</v>
      </c>
      <c r="I150" t="s">
        <v>69</v>
      </c>
      <c r="J150" s="2" t="s">
        <v>450</v>
      </c>
      <c r="K150" t="s">
        <v>451</v>
      </c>
      <c r="L150" s="2" t="s">
        <v>86</v>
      </c>
      <c r="M150" s="1">
        <v>45996</v>
      </c>
      <c r="N150" s="1">
        <v>46030</v>
      </c>
      <c r="O150" s="1">
        <v>46022</v>
      </c>
      <c r="Q150">
        <v>0</v>
      </c>
      <c r="R150">
        <v>0</v>
      </c>
      <c r="S150">
        <v>0</v>
      </c>
      <c r="T150" s="2">
        <v>0</v>
      </c>
      <c r="U150" s="2">
        <v>0</v>
      </c>
      <c r="V150" s="2">
        <v>0</v>
      </c>
      <c r="W150" s="2">
        <v>57</v>
      </c>
      <c r="X150">
        <v>0</v>
      </c>
      <c r="Y150">
        <v>0</v>
      </c>
      <c r="Z150">
        <v>0</v>
      </c>
      <c r="AA150">
        <v>2.06</v>
      </c>
      <c r="AB150">
        <v>0.78</v>
      </c>
      <c r="AC150">
        <v>0.14000000000000001</v>
      </c>
      <c r="AD150" s="2">
        <v>2.98</v>
      </c>
      <c r="AE150">
        <v>54.02</v>
      </c>
      <c r="AF150">
        <v>94.77</v>
      </c>
      <c r="AG150">
        <v>54.02</v>
      </c>
      <c r="AH150">
        <v>94.77</v>
      </c>
      <c r="AI150">
        <v>0</v>
      </c>
      <c r="AJ150">
        <v>0.08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57</v>
      </c>
      <c r="AR150">
        <v>57</v>
      </c>
      <c r="AS150">
        <v>2.98</v>
      </c>
      <c r="AT150">
        <v>0</v>
      </c>
      <c r="AU150">
        <v>54.02</v>
      </c>
      <c r="AV150">
        <v>94.77</v>
      </c>
    </row>
    <row r="151" spans="1:48" hidden="1" x14ac:dyDescent="0.2">
      <c r="A151">
        <v>102</v>
      </c>
      <c r="B151" t="s">
        <v>192</v>
      </c>
      <c r="C151" t="s">
        <v>193</v>
      </c>
      <c r="D151" t="s">
        <v>194</v>
      </c>
      <c r="E151" t="s">
        <v>195</v>
      </c>
      <c r="F151">
        <v>145</v>
      </c>
      <c r="G151" t="s">
        <v>447</v>
      </c>
      <c r="H151" t="s">
        <v>68</v>
      </c>
      <c r="I151" t="s">
        <v>69</v>
      </c>
      <c r="J151" s="2" t="s">
        <v>452</v>
      </c>
      <c r="K151" t="s">
        <v>453</v>
      </c>
      <c r="L151" s="2" t="s">
        <v>86</v>
      </c>
      <c r="M151" s="1">
        <v>46002</v>
      </c>
      <c r="N151" s="1">
        <v>46030</v>
      </c>
      <c r="O151" s="1">
        <v>46022</v>
      </c>
      <c r="Q151">
        <v>0</v>
      </c>
      <c r="R151">
        <v>0</v>
      </c>
      <c r="S151">
        <v>0</v>
      </c>
      <c r="T151" s="2">
        <v>0</v>
      </c>
      <c r="U151" s="2">
        <v>0</v>
      </c>
      <c r="V151" s="2">
        <v>0</v>
      </c>
      <c r="W151" s="2">
        <v>215.3</v>
      </c>
      <c r="X151">
        <v>0</v>
      </c>
      <c r="Y151">
        <v>69.05</v>
      </c>
      <c r="Z151">
        <v>0</v>
      </c>
      <c r="AA151">
        <v>32.21</v>
      </c>
      <c r="AB151">
        <v>1.04</v>
      </c>
      <c r="AC151">
        <v>2</v>
      </c>
      <c r="AD151" s="2">
        <v>104.3</v>
      </c>
      <c r="AE151">
        <v>111</v>
      </c>
      <c r="AF151">
        <v>51.56</v>
      </c>
      <c r="AG151">
        <v>111</v>
      </c>
      <c r="AH151">
        <v>51.56</v>
      </c>
      <c r="AI151">
        <v>0</v>
      </c>
      <c r="AJ151">
        <v>1.3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215.3</v>
      </c>
      <c r="AR151">
        <v>215.3</v>
      </c>
      <c r="AS151">
        <v>104.3</v>
      </c>
      <c r="AT151">
        <v>0</v>
      </c>
      <c r="AU151">
        <v>111</v>
      </c>
      <c r="AV151">
        <v>51.56</v>
      </c>
    </row>
    <row r="152" spans="1:48" hidden="1" x14ac:dyDescent="0.2">
      <c r="A152">
        <v>102</v>
      </c>
      <c r="B152" t="s">
        <v>192</v>
      </c>
      <c r="C152" t="s">
        <v>193</v>
      </c>
      <c r="D152" t="s">
        <v>194</v>
      </c>
      <c r="E152" t="s">
        <v>195</v>
      </c>
      <c r="F152">
        <v>145</v>
      </c>
      <c r="G152" t="s">
        <v>447</v>
      </c>
      <c r="H152" t="s">
        <v>68</v>
      </c>
      <c r="I152" t="s">
        <v>69</v>
      </c>
      <c r="J152" s="2" t="s">
        <v>454</v>
      </c>
      <c r="K152" t="s">
        <v>455</v>
      </c>
      <c r="L152" s="2" t="s">
        <v>86</v>
      </c>
      <c r="M152" s="1">
        <v>46009</v>
      </c>
      <c r="N152" s="1">
        <v>46029</v>
      </c>
      <c r="O152" s="1">
        <v>46022</v>
      </c>
      <c r="Q152">
        <v>0</v>
      </c>
      <c r="R152">
        <v>0</v>
      </c>
      <c r="S152">
        <v>0</v>
      </c>
      <c r="T152" s="2">
        <v>0</v>
      </c>
      <c r="U152" s="2">
        <v>0</v>
      </c>
      <c r="V152" s="2">
        <v>0</v>
      </c>
      <c r="W152" s="2">
        <v>57</v>
      </c>
      <c r="X152">
        <v>0</v>
      </c>
      <c r="Y152">
        <v>0</v>
      </c>
      <c r="Z152">
        <v>0</v>
      </c>
      <c r="AA152">
        <v>6.2</v>
      </c>
      <c r="AB152">
        <v>23.22</v>
      </c>
      <c r="AC152">
        <v>0</v>
      </c>
      <c r="AD152" s="2">
        <v>29.42</v>
      </c>
      <c r="AE152">
        <v>27.58</v>
      </c>
      <c r="AF152">
        <v>48.39</v>
      </c>
      <c r="AG152">
        <v>27.58</v>
      </c>
      <c r="AH152">
        <v>48.39</v>
      </c>
      <c r="AI152">
        <v>0</v>
      </c>
      <c r="AJ152">
        <v>0.97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57</v>
      </c>
      <c r="AR152">
        <v>57</v>
      </c>
      <c r="AS152">
        <v>29.42</v>
      </c>
      <c r="AT152">
        <v>0</v>
      </c>
      <c r="AU152">
        <v>27.58</v>
      </c>
      <c r="AV152">
        <v>48.39</v>
      </c>
    </row>
    <row r="153" spans="1:48" hidden="1" x14ac:dyDescent="0.2">
      <c r="A153">
        <v>102</v>
      </c>
      <c r="B153" t="s">
        <v>192</v>
      </c>
      <c r="C153" t="s">
        <v>193</v>
      </c>
      <c r="D153" t="s">
        <v>194</v>
      </c>
      <c r="E153" t="s">
        <v>195</v>
      </c>
      <c r="F153">
        <v>146</v>
      </c>
      <c r="G153" t="s">
        <v>456</v>
      </c>
      <c r="H153" t="s">
        <v>68</v>
      </c>
      <c r="I153" t="s">
        <v>69</v>
      </c>
      <c r="J153" s="2" t="s">
        <v>457</v>
      </c>
      <c r="K153" t="s">
        <v>458</v>
      </c>
      <c r="L153" s="2" t="s">
        <v>86</v>
      </c>
      <c r="M153" s="1">
        <v>46006</v>
      </c>
      <c r="N153" s="1">
        <v>46029</v>
      </c>
      <c r="O153" s="1">
        <v>46022</v>
      </c>
      <c r="Q153">
        <v>0</v>
      </c>
      <c r="R153">
        <v>0</v>
      </c>
      <c r="S153">
        <v>0</v>
      </c>
      <c r="T153" s="2">
        <v>0</v>
      </c>
      <c r="U153" s="2">
        <v>0</v>
      </c>
      <c r="V153" s="2">
        <v>0</v>
      </c>
      <c r="W153" s="2">
        <v>142</v>
      </c>
      <c r="X153">
        <v>0</v>
      </c>
      <c r="Y153">
        <v>48.38</v>
      </c>
      <c r="Z153">
        <v>0</v>
      </c>
      <c r="AA153">
        <v>15.28</v>
      </c>
      <c r="AB153">
        <v>10.78</v>
      </c>
      <c r="AC153">
        <v>1.26</v>
      </c>
      <c r="AD153" s="2">
        <v>75.7</v>
      </c>
      <c r="AE153">
        <v>66.3</v>
      </c>
      <c r="AF153">
        <v>46.69</v>
      </c>
      <c r="AG153">
        <v>66.3</v>
      </c>
      <c r="AH153">
        <v>46.69</v>
      </c>
      <c r="AI153">
        <v>0</v>
      </c>
      <c r="AJ153">
        <v>0.8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142</v>
      </c>
      <c r="AR153">
        <v>142</v>
      </c>
      <c r="AS153">
        <v>75.7</v>
      </c>
      <c r="AT153">
        <v>0</v>
      </c>
      <c r="AU153">
        <v>66.3</v>
      </c>
      <c r="AV153">
        <v>46.69</v>
      </c>
    </row>
    <row r="154" spans="1:48" hidden="1" x14ac:dyDescent="0.2">
      <c r="A154">
        <v>102</v>
      </c>
      <c r="B154" t="s">
        <v>192</v>
      </c>
      <c r="C154" t="s">
        <v>193</v>
      </c>
      <c r="D154" t="s">
        <v>194</v>
      </c>
      <c r="E154" t="s">
        <v>195</v>
      </c>
      <c r="F154">
        <v>150</v>
      </c>
      <c r="G154" t="s">
        <v>459</v>
      </c>
      <c r="H154" t="s">
        <v>68</v>
      </c>
      <c r="I154" t="s">
        <v>69</v>
      </c>
      <c r="J154" s="2" t="s">
        <v>460</v>
      </c>
      <c r="K154" t="s">
        <v>461</v>
      </c>
      <c r="L154" s="2" t="s">
        <v>86</v>
      </c>
      <c r="M154" s="1">
        <v>45972</v>
      </c>
      <c r="N154" s="1">
        <v>45995</v>
      </c>
      <c r="O154" s="1">
        <v>45991</v>
      </c>
      <c r="Q154">
        <v>0</v>
      </c>
      <c r="R154">
        <v>0</v>
      </c>
      <c r="S154">
        <v>0</v>
      </c>
      <c r="T154" s="2">
        <v>0</v>
      </c>
      <c r="U154" s="2">
        <v>0</v>
      </c>
      <c r="V154" s="2">
        <v>0</v>
      </c>
      <c r="W154" s="2">
        <v>0</v>
      </c>
      <c r="X154">
        <v>0</v>
      </c>
      <c r="Y154">
        <v>0</v>
      </c>
      <c r="Z154">
        <v>100</v>
      </c>
      <c r="AA154">
        <v>37.58</v>
      </c>
      <c r="AB154">
        <v>25.8</v>
      </c>
      <c r="AC154">
        <v>2.8</v>
      </c>
      <c r="AD154" s="2">
        <v>166.18</v>
      </c>
      <c r="AE154">
        <v>-166.18</v>
      </c>
      <c r="AF154">
        <v>0</v>
      </c>
      <c r="AG154">
        <v>-166.18</v>
      </c>
      <c r="AH154">
        <v>0</v>
      </c>
      <c r="AI154">
        <v>0</v>
      </c>
      <c r="AJ154">
        <v>2.04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4039.02</v>
      </c>
      <c r="AS154">
        <v>2149.5</v>
      </c>
      <c r="AT154">
        <v>0</v>
      </c>
      <c r="AU154">
        <v>1889.52</v>
      </c>
      <c r="AV154">
        <v>46.78</v>
      </c>
    </row>
    <row r="155" spans="1:48" hidden="1" x14ac:dyDescent="0.2">
      <c r="A155">
        <v>102</v>
      </c>
      <c r="B155" t="s">
        <v>192</v>
      </c>
      <c r="C155" t="s">
        <v>193</v>
      </c>
      <c r="D155" t="s">
        <v>194</v>
      </c>
      <c r="E155" t="s">
        <v>195</v>
      </c>
      <c r="F155">
        <v>151</v>
      </c>
      <c r="G155" t="s">
        <v>462</v>
      </c>
      <c r="H155" t="s">
        <v>68</v>
      </c>
      <c r="I155" t="s">
        <v>69</v>
      </c>
      <c r="J155" s="2" t="s">
        <v>463</v>
      </c>
      <c r="K155" t="s">
        <v>464</v>
      </c>
      <c r="L155" s="2" t="s">
        <v>86</v>
      </c>
      <c r="M155" s="1">
        <v>45996</v>
      </c>
      <c r="N155" s="1">
        <v>46030</v>
      </c>
      <c r="O155" s="1">
        <v>46022</v>
      </c>
      <c r="Q155">
        <v>0</v>
      </c>
      <c r="R155">
        <v>0</v>
      </c>
      <c r="S155">
        <v>0</v>
      </c>
      <c r="T155" s="2">
        <v>0</v>
      </c>
      <c r="U155" s="2">
        <v>0</v>
      </c>
      <c r="V155" s="2">
        <v>0</v>
      </c>
      <c r="W155" s="2">
        <v>341.96</v>
      </c>
      <c r="X155">
        <v>0</v>
      </c>
      <c r="Y155">
        <v>14.07</v>
      </c>
      <c r="Z155">
        <v>0</v>
      </c>
      <c r="AA155">
        <v>149.02000000000001</v>
      </c>
      <c r="AB155">
        <v>19.260000000000002</v>
      </c>
      <c r="AC155">
        <v>8.33</v>
      </c>
      <c r="AD155" s="2">
        <v>190.68</v>
      </c>
      <c r="AE155">
        <v>151.28</v>
      </c>
      <c r="AF155">
        <v>44.24</v>
      </c>
      <c r="AG155">
        <v>151.28</v>
      </c>
      <c r="AH155">
        <v>44.24</v>
      </c>
      <c r="AI155">
        <v>0</v>
      </c>
      <c r="AJ155">
        <v>6.48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341.96</v>
      </c>
      <c r="AR155">
        <v>341.96</v>
      </c>
      <c r="AS155">
        <v>190.68</v>
      </c>
      <c r="AT155">
        <v>0</v>
      </c>
      <c r="AU155">
        <v>151.28</v>
      </c>
      <c r="AV155">
        <v>44.24</v>
      </c>
    </row>
    <row r="156" spans="1:48" hidden="1" x14ac:dyDescent="0.2">
      <c r="A156">
        <v>102</v>
      </c>
      <c r="B156" t="s">
        <v>192</v>
      </c>
      <c r="C156" t="s">
        <v>193</v>
      </c>
      <c r="D156" t="s">
        <v>194</v>
      </c>
      <c r="E156" t="s">
        <v>195</v>
      </c>
      <c r="F156">
        <v>152</v>
      </c>
      <c r="G156" t="s">
        <v>465</v>
      </c>
      <c r="H156" t="s">
        <v>68</v>
      </c>
      <c r="I156" t="s">
        <v>69</v>
      </c>
      <c r="J156" s="2" t="s">
        <v>466</v>
      </c>
      <c r="K156" t="s">
        <v>467</v>
      </c>
      <c r="L156" s="2" t="s">
        <v>63</v>
      </c>
      <c r="M156" s="1">
        <v>46020</v>
      </c>
      <c r="N156" t="s">
        <v>64</v>
      </c>
      <c r="O156" t="s">
        <v>64</v>
      </c>
      <c r="Q156">
        <v>0</v>
      </c>
      <c r="R156">
        <v>0</v>
      </c>
      <c r="S156">
        <v>0</v>
      </c>
      <c r="T156" s="2">
        <v>129</v>
      </c>
      <c r="U156" s="2">
        <v>0</v>
      </c>
      <c r="V156" s="2">
        <v>0</v>
      </c>
      <c r="W156" s="2">
        <v>0</v>
      </c>
      <c r="X156">
        <v>0</v>
      </c>
      <c r="Y156">
        <v>0</v>
      </c>
      <c r="Z156">
        <v>0</v>
      </c>
      <c r="AA156">
        <v>30.98</v>
      </c>
      <c r="AB156">
        <v>52.1</v>
      </c>
      <c r="AC156">
        <v>2.88</v>
      </c>
      <c r="AD156" s="2">
        <v>85.96</v>
      </c>
      <c r="AE156">
        <v>-85.96</v>
      </c>
      <c r="AF156">
        <v>0</v>
      </c>
      <c r="AG156">
        <v>43.04</v>
      </c>
      <c r="AH156">
        <v>33.36</v>
      </c>
      <c r="AI156">
        <v>0</v>
      </c>
      <c r="AJ156">
        <v>2.4500000000000002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85.96</v>
      </c>
      <c r="AT156">
        <v>0</v>
      </c>
      <c r="AU156">
        <v>-85.96</v>
      </c>
      <c r="AV156">
        <v>0</v>
      </c>
    </row>
    <row r="157" spans="1:48" hidden="1" x14ac:dyDescent="0.2">
      <c r="A157">
        <v>102</v>
      </c>
      <c r="B157" t="s">
        <v>192</v>
      </c>
      <c r="C157" t="s">
        <v>193</v>
      </c>
      <c r="D157" t="s">
        <v>194</v>
      </c>
      <c r="E157" t="s">
        <v>195</v>
      </c>
      <c r="F157">
        <v>160</v>
      </c>
      <c r="G157" t="s">
        <v>468</v>
      </c>
      <c r="H157" t="s">
        <v>68</v>
      </c>
      <c r="I157" t="s">
        <v>69</v>
      </c>
      <c r="J157" s="2" t="s">
        <v>469</v>
      </c>
      <c r="K157" t="s">
        <v>470</v>
      </c>
      <c r="L157" s="2" t="s">
        <v>86</v>
      </c>
      <c r="M157" s="1">
        <v>46001</v>
      </c>
      <c r="N157" s="1">
        <v>46030</v>
      </c>
      <c r="O157" s="1">
        <v>46022</v>
      </c>
      <c r="Q157">
        <v>0</v>
      </c>
      <c r="R157">
        <v>0</v>
      </c>
      <c r="S157">
        <v>0</v>
      </c>
      <c r="T157" s="2">
        <v>0</v>
      </c>
      <c r="U157" s="2">
        <v>0</v>
      </c>
      <c r="V157" s="2">
        <v>0</v>
      </c>
      <c r="W157" s="2">
        <v>607.79999999999995</v>
      </c>
      <c r="X157">
        <v>0</v>
      </c>
      <c r="Y157">
        <v>367.7</v>
      </c>
      <c r="Z157">
        <v>0</v>
      </c>
      <c r="AA157">
        <v>34.28</v>
      </c>
      <c r="AB157">
        <v>10.86</v>
      </c>
      <c r="AC157">
        <v>2.16</v>
      </c>
      <c r="AD157" s="2">
        <v>415</v>
      </c>
      <c r="AE157">
        <v>192.8</v>
      </c>
      <c r="AF157">
        <v>31.72</v>
      </c>
      <c r="AG157">
        <v>192.8</v>
      </c>
      <c r="AH157">
        <v>31.72</v>
      </c>
      <c r="AI157">
        <v>0</v>
      </c>
      <c r="AJ157">
        <v>1.71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607.79999999999995</v>
      </c>
      <c r="AR157">
        <v>607.79999999999995</v>
      </c>
      <c r="AS157">
        <v>415</v>
      </c>
      <c r="AT157">
        <v>0</v>
      </c>
      <c r="AU157">
        <v>192.8</v>
      </c>
      <c r="AV157">
        <v>31.72</v>
      </c>
    </row>
    <row r="158" spans="1:48" hidden="1" x14ac:dyDescent="0.2">
      <c r="A158">
        <v>102</v>
      </c>
      <c r="B158" t="s">
        <v>192</v>
      </c>
      <c r="C158" t="s">
        <v>193</v>
      </c>
      <c r="D158" t="s">
        <v>194</v>
      </c>
      <c r="E158" t="s">
        <v>195</v>
      </c>
      <c r="F158">
        <v>161</v>
      </c>
      <c r="G158" t="s">
        <v>471</v>
      </c>
      <c r="H158" t="s">
        <v>68</v>
      </c>
      <c r="I158" t="s">
        <v>69</v>
      </c>
      <c r="J158" s="2" t="s">
        <v>472</v>
      </c>
      <c r="K158" t="s">
        <v>473</v>
      </c>
      <c r="L158" s="2" t="s">
        <v>86</v>
      </c>
      <c r="M158" s="1">
        <v>46003</v>
      </c>
      <c r="N158" s="1">
        <v>46029</v>
      </c>
      <c r="O158" s="1">
        <v>46022</v>
      </c>
      <c r="Q158">
        <v>0</v>
      </c>
      <c r="R158">
        <v>0</v>
      </c>
      <c r="S158">
        <v>0</v>
      </c>
      <c r="T158" s="2">
        <v>0</v>
      </c>
      <c r="U158" s="2">
        <v>0</v>
      </c>
      <c r="V158" s="2">
        <v>0</v>
      </c>
      <c r="W158" s="2">
        <v>174.63</v>
      </c>
      <c r="X158">
        <v>1.24</v>
      </c>
      <c r="Y158">
        <v>3.17</v>
      </c>
      <c r="Z158">
        <v>0</v>
      </c>
      <c r="AA158">
        <v>16.52</v>
      </c>
      <c r="AB158">
        <v>11.15</v>
      </c>
      <c r="AC158">
        <v>0</v>
      </c>
      <c r="AD158" s="2">
        <v>30.84</v>
      </c>
      <c r="AE158">
        <v>143.79</v>
      </c>
      <c r="AF158">
        <v>82.34</v>
      </c>
      <c r="AG158">
        <v>142.55000000000001</v>
      </c>
      <c r="AH158">
        <v>81.63</v>
      </c>
      <c r="AI158">
        <v>0</v>
      </c>
      <c r="AJ158">
        <v>0.84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174.63</v>
      </c>
      <c r="AR158">
        <v>174.63</v>
      </c>
      <c r="AS158">
        <v>30.84</v>
      </c>
      <c r="AT158">
        <v>0</v>
      </c>
      <c r="AU158">
        <v>143.79</v>
      </c>
      <c r="AV158">
        <v>82.34</v>
      </c>
    </row>
    <row r="159" spans="1:48" hidden="1" x14ac:dyDescent="0.2">
      <c r="A159">
        <v>102</v>
      </c>
      <c r="B159" t="s">
        <v>192</v>
      </c>
      <c r="C159" t="s">
        <v>193</v>
      </c>
      <c r="D159" t="s">
        <v>194</v>
      </c>
      <c r="E159" t="s">
        <v>195</v>
      </c>
      <c r="F159">
        <v>161</v>
      </c>
      <c r="G159" t="s">
        <v>471</v>
      </c>
      <c r="H159" t="s">
        <v>68</v>
      </c>
      <c r="I159" t="s">
        <v>69</v>
      </c>
      <c r="J159" s="2" t="s">
        <v>474</v>
      </c>
      <c r="K159" t="s">
        <v>475</v>
      </c>
      <c r="L159" s="2" t="s">
        <v>86</v>
      </c>
      <c r="M159" s="1">
        <v>46006</v>
      </c>
      <c r="N159" s="1">
        <v>46033</v>
      </c>
      <c r="O159" s="1">
        <v>46022</v>
      </c>
      <c r="Q159">
        <v>0</v>
      </c>
      <c r="R159">
        <v>0</v>
      </c>
      <c r="S159">
        <v>0</v>
      </c>
      <c r="T159" s="2">
        <v>0</v>
      </c>
      <c r="U159" s="2">
        <v>0</v>
      </c>
      <c r="V159" s="2">
        <v>0</v>
      </c>
      <c r="W159" s="2">
        <v>74</v>
      </c>
      <c r="X159">
        <v>0</v>
      </c>
      <c r="Y159">
        <v>0</v>
      </c>
      <c r="Z159">
        <v>0</v>
      </c>
      <c r="AA159">
        <v>22.7</v>
      </c>
      <c r="AB159">
        <v>19.05</v>
      </c>
      <c r="AC159">
        <v>2.61</v>
      </c>
      <c r="AD159" s="2">
        <v>44.36</v>
      </c>
      <c r="AE159">
        <v>29.64</v>
      </c>
      <c r="AF159">
        <v>40.049999999999997</v>
      </c>
      <c r="AG159">
        <v>29.64</v>
      </c>
      <c r="AH159">
        <v>40.049999999999997</v>
      </c>
      <c r="AI159">
        <v>0</v>
      </c>
      <c r="AJ159">
        <v>1.53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74</v>
      </c>
      <c r="AR159">
        <v>74</v>
      </c>
      <c r="AS159">
        <v>44.36</v>
      </c>
      <c r="AT159">
        <v>0</v>
      </c>
      <c r="AU159">
        <v>29.64</v>
      </c>
      <c r="AV159">
        <v>40.049999999999997</v>
      </c>
    </row>
    <row r="160" spans="1:48" hidden="1" x14ac:dyDescent="0.2">
      <c r="A160">
        <v>102</v>
      </c>
      <c r="B160" t="s">
        <v>192</v>
      </c>
      <c r="C160" t="s">
        <v>193</v>
      </c>
      <c r="D160" t="s">
        <v>194</v>
      </c>
      <c r="E160" t="s">
        <v>195</v>
      </c>
      <c r="F160">
        <v>163</v>
      </c>
      <c r="G160" t="s">
        <v>476</v>
      </c>
      <c r="H160" t="s">
        <v>68</v>
      </c>
      <c r="I160" t="s">
        <v>69</v>
      </c>
      <c r="J160" s="2" t="s">
        <v>477</v>
      </c>
      <c r="K160" t="s">
        <v>478</v>
      </c>
      <c r="L160" s="2" t="s">
        <v>86</v>
      </c>
      <c r="M160" s="1">
        <v>46003</v>
      </c>
      <c r="N160" s="1">
        <v>46009</v>
      </c>
      <c r="O160" s="1">
        <v>46022</v>
      </c>
      <c r="Q160">
        <v>0</v>
      </c>
      <c r="R160">
        <v>0</v>
      </c>
      <c r="S160">
        <v>0</v>
      </c>
      <c r="T160" s="2">
        <v>0</v>
      </c>
      <c r="U160" s="2">
        <v>0</v>
      </c>
      <c r="V160" s="2">
        <v>0</v>
      </c>
      <c r="W160" s="2">
        <v>357.46</v>
      </c>
      <c r="X160">
        <v>0</v>
      </c>
      <c r="Y160">
        <v>88.95</v>
      </c>
      <c r="Z160">
        <v>0</v>
      </c>
      <c r="AA160">
        <v>46.26</v>
      </c>
      <c r="AB160">
        <v>19.989999999999998</v>
      </c>
      <c r="AC160">
        <v>2.57</v>
      </c>
      <c r="AD160" s="2">
        <v>157.77000000000001</v>
      </c>
      <c r="AE160">
        <v>199.69</v>
      </c>
      <c r="AF160">
        <v>55.86</v>
      </c>
      <c r="AG160">
        <v>199.69</v>
      </c>
      <c r="AH160">
        <v>55.86</v>
      </c>
      <c r="AI160">
        <v>0</v>
      </c>
      <c r="AJ160">
        <v>2.3199999999999998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357.46</v>
      </c>
      <c r="AR160">
        <v>357.46</v>
      </c>
      <c r="AS160">
        <v>157.77000000000001</v>
      </c>
      <c r="AT160">
        <v>0</v>
      </c>
      <c r="AU160">
        <v>199.69</v>
      </c>
      <c r="AV160">
        <v>55.86</v>
      </c>
    </row>
    <row r="161" spans="1:48" hidden="1" x14ac:dyDescent="0.2">
      <c r="A161">
        <v>102</v>
      </c>
      <c r="B161" t="s">
        <v>192</v>
      </c>
      <c r="C161" t="s">
        <v>193</v>
      </c>
      <c r="D161" t="s">
        <v>194</v>
      </c>
      <c r="E161" t="s">
        <v>195</v>
      </c>
      <c r="F161">
        <v>163</v>
      </c>
      <c r="G161" t="s">
        <v>476</v>
      </c>
      <c r="H161" t="s">
        <v>68</v>
      </c>
      <c r="I161" t="s">
        <v>69</v>
      </c>
      <c r="J161" s="2" t="s">
        <v>479</v>
      </c>
      <c r="K161" t="s">
        <v>480</v>
      </c>
      <c r="L161" s="2" t="s">
        <v>63</v>
      </c>
      <c r="M161" s="1">
        <v>46013</v>
      </c>
      <c r="N161" t="s">
        <v>64</v>
      </c>
      <c r="O161" t="s">
        <v>64</v>
      </c>
      <c r="Q161">
        <v>0</v>
      </c>
      <c r="R161">
        <v>0</v>
      </c>
      <c r="S161">
        <v>0</v>
      </c>
      <c r="T161" s="2">
        <v>74</v>
      </c>
      <c r="U161" s="2">
        <v>0</v>
      </c>
      <c r="V161" s="2">
        <v>0</v>
      </c>
      <c r="W161" s="2">
        <v>0</v>
      </c>
      <c r="X161">
        <v>0</v>
      </c>
      <c r="Y161">
        <v>0</v>
      </c>
      <c r="Z161">
        <v>0</v>
      </c>
      <c r="AA161">
        <v>14.45</v>
      </c>
      <c r="AB161">
        <v>30.39</v>
      </c>
      <c r="AC161">
        <v>1.92</v>
      </c>
      <c r="AD161" s="2">
        <v>46.76</v>
      </c>
      <c r="AE161">
        <v>-46.76</v>
      </c>
      <c r="AF161">
        <v>0</v>
      </c>
      <c r="AG161">
        <v>27.24</v>
      </c>
      <c r="AH161">
        <v>36.81</v>
      </c>
      <c r="AI161">
        <v>0</v>
      </c>
      <c r="AJ161">
        <v>1.31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46.76</v>
      </c>
      <c r="AT161">
        <v>0</v>
      </c>
      <c r="AU161">
        <v>-46.76</v>
      </c>
      <c r="AV161">
        <v>0</v>
      </c>
    </row>
    <row r="162" spans="1:48" hidden="1" x14ac:dyDescent="0.2">
      <c r="A162">
        <v>102</v>
      </c>
      <c r="B162" t="s">
        <v>192</v>
      </c>
      <c r="C162" t="s">
        <v>193</v>
      </c>
      <c r="D162" t="s">
        <v>194</v>
      </c>
      <c r="E162" t="s">
        <v>195</v>
      </c>
      <c r="F162">
        <v>164</v>
      </c>
      <c r="G162" t="s">
        <v>481</v>
      </c>
      <c r="H162" t="s">
        <v>68</v>
      </c>
      <c r="I162" t="s">
        <v>69</v>
      </c>
      <c r="J162" s="2" t="s">
        <v>482</v>
      </c>
      <c r="K162" t="s">
        <v>483</v>
      </c>
      <c r="L162" s="2" t="s">
        <v>86</v>
      </c>
      <c r="M162" s="1">
        <v>46013</v>
      </c>
      <c r="N162" s="1">
        <v>46031</v>
      </c>
      <c r="O162" s="1">
        <v>46022</v>
      </c>
      <c r="Q162">
        <v>0</v>
      </c>
      <c r="R162">
        <v>0</v>
      </c>
      <c r="S162">
        <v>0</v>
      </c>
      <c r="T162" s="2">
        <v>0</v>
      </c>
      <c r="U162" s="2">
        <v>0</v>
      </c>
      <c r="V162" s="2">
        <v>0</v>
      </c>
      <c r="W162" s="2">
        <v>150</v>
      </c>
      <c r="X162">
        <v>0</v>
      </c>
      <c r="Y162">
        <v>40.369999999999997</v>
      </c>
      <c r="Z162">
        <v>0</v>
      </c>
      <c r="AA162">
        <v>26.02</v>
      </c>
      <c r="AB162">
        <v>23.19</v>
      </c>
      <c r="AC162">
        <v>1.64</v>
      </c>
      <c r="AD162" s="2">
        <v>91.22</v>
      </c>
      <c r="AE162">
        <v>58.78</v>
      </c>
      <c r="AF162">
        <v>39.19</v>
      </c>
      <c r="AG162">
        <v>58.78</v>
      </c>
      <c r="AH162">
        <v>39.19</v>
      </c>
      <c r="AI162">
        <v>0</v>
      </c>
      <c r="AJ162">
        <v>1.65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150</v>
      </c>
      <c r="AR162">
        <v>150</v>
      </c>
      <c r="AS162">
        <v>91.22</v>
      </c>
      <c r="AT162">
        <v>0</v>
      </c>
      <c r="AU162">
        <v>58.78</v>
      </c>
      <c r="AV162">
        <v>39.19</v>
      </c>
    </row>
    <row r="163" spans="1:48" hidden="1" x14ac:dyDescent="0.2">
      <c r="A163">
        <v>102</v>
      </c>
      <c r="B163" t="s">
        <v>192</v>
      </c>
      <c r="C163" t="s">
        <v>193</v>
      </c>
      <c r="D163" t="s">
        <v>194</v>
      </c>
      <c r="E163" t="s">
        <v>195</v>
      </c>
      <c r="F163">
        <v>165</v>
      </c>
      <c r="G163" t="s">
        <v>484</v>
      </c>
      <c r="H163" t="s">
        <v>68</v>
      </c>
      <c r="I163" t="s">
        <v>69</v>
      </c>
      <c r="J163" s="2" t="s">
        <v>485</v>
      </c>
      <c r="K163" t="s">
        <v>486</v>
      </c>
      <c r="L163" s="2" t="s">
        <v>86</v>
      </c>
      <c r="M163" s="1">
        <v>46004</v>
      </c>
      <c r="N163" s="1">
        <v>46029</v>
      </c>
      <c r="O163" s="1">
        <v>46022</v>
      </c>
      <c r="Q163">
        <v>0</v>
      </c>
      <c r="R163">
        <v>0</v>
      </c>
      <c r="S163">
        <v>0</v>
      </c>
      <c r="T163" s="2">
        <v>0</v>
      </c>
      <c r="U163" s="2">
        <v>0</v>
      </c>
      <c r="V163" s="2">
        <v>0</v>
      </c>
      <c r="W163" s="2">
        <v>268.26</v>
      </c>
      <c r="X163">
        <v>0</v>
      </c>
      <c r="Y163">
        <v>6.33</v>
      </c>
      <c r="Z163">
        <v>0</v>
      </c>
      <c r="AA163">
        <v>34.69</v>
      </c>
      <c r="AB163">
        <v>3.93</v>
      </c>
      <c r="AC163">
        <v>0</v>
      </c>
      <c r="AD163" s="2">
        <v>44.95</v>
      </c>
      <c r="AE163">
        <v>223.31</v>
      </c>
      <c r="AF163">
        <v>83.24</v>
      </c>
      <c r="AG163">
        <v>223.31</v>
      </c>
      <c r="AH163">
        <v>83.24</v>
      </c>
      <c r="AI163">
        <v>0</v>
      </c>
      <c r="AJ163">
        <v>1.52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268.26</v>
      </c>
      <c r="AR163">
        <v>268.26</v>
      </c>
      <c r="AS163">
        <v>44.95</v>
      </c>
      <c r="AT163">
        <v>0</v>
      </c>
      <c r="AU163">
        <v>223.31</v>
      </c>
      <c r="AV163">
        <v>83.24</v>
      </c>
    </row>
    <row r="164" spans="1:48" hidden="1" x14ac:dyDescent="0.2">
      <c r="A164">
        <v>102</v>
      </c>
      <c r="B164" t="s">
        <v>192</v>
      </c>
      <c r="C164" t="s">
        <v>193</v>
      </c>
      <c r="D164" t="s">
        <v>194</v>
      </c>
      <c r="E164" t="s">
        <v>195</v>
      </c>
      <c r="F164">
        <v>165</v>
      </c>
      <c r="G164" t="s">
        <v>484</v>
      </c>
      <c r="H164" t="s">
        <v>68</v>
      </c>
      <c r="I164" t="s">
        <v>69</v>
      </c>
      <c r="J164" s="2" t="s">
        <v>487</v>
      </c>
      <c r="K164" t="s">
        <v>488</v>
      </c>
      <c r="L164" s="2" t="s">
        <v>86</v>
      </c>
      <c r="M164" s="1">
        <v>46008</v>
      </c>
      <c r="N164" s="1">
        <v>46030</v>
      </c>
      <c r="O164" s="1">
        <v>46022</v>
      </c>
      <c r="Q164">
        <v>0</v>
      </c>
      <c r="R164">
        <v>0</v>
      </c>
      <c r="S164">
        <v>0</v>
      </c>
      <c r="T164" s="2">
        <v>0</v>
      </c>
      <c r="U164" s="2">
        <v>0</v>
      </c>
      <c r="V164" s="2">
        <v>0</v>
      </c>
      <c r="W164" s="2">
        <v>93.5</v>
      </c>
      <c r="X164">
        <v>0</v>
      </c>
      <c r="Y164">
        <v>11.04</v>
      </c>
      <c r="Z164">
        <v>0</v>
      </c>
      <c r="AA164">
        <v>17.350000000000001</v>
      </c>
      <c r="AB164">
        <v>33.93</v>
      </c>
      <c r="AC164">
        <v>2.02</v>
      </c>
      <c r="AD164" s="2">
        <v>64.34</v>
      </c>
      <c r="AE164">
        <v>29.16</v>
      </c>
      <c r="AF164">
        <v>31.19</v>
      </c>
      <c r="AG164">
        <v>29.16</v>
      </c>
      <c r="AH164">
        <v>31.19</v>
      </c>
      <c r="AI164">
        <v>0</v>
      </c>
      <c r="AJ164">
        <v>1.45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93.5</v>
      </c>
      <c r="AR164">
        <v>93.5</v>
      </c>
      <c r="AS164">
        <v>64.34</v>
      </c>
      <c r="AT164">
        <v>0</v>
      </c>
      <c r="AU164">
        <v>29.16</v>
      </c>
      <c r="AV164">
        <v>31.19</v>
      </c>
    </row>
    <row r="165" spans="1:48" hidden="1" x14ac:dyDescent="0.2">
      <c r="A165">
        <v>102</v>
      </c>
      <c r="B165" t="s">
        <v>192</v>
      </c>
      <c r="C165" t="s">
        <v>193</v>
      </c>
      <c r="D165" t="s">
        <v>194</v>
      </c>
      <c r="E165" t="s">
        <v>195</v>
      </c>
      <c r="F165">
        <v>170</v>
      </c>
      <c r="G165" t="s">
        <v>489</v>
      </c>
      <c r="H165" t="s">
        <v>490</v>
      </c>
      <c r="I165" t="s">
        <v>69</v>
      </c>
      <c r="J165" s="2" t="s">
        <v>491</v>
      </c>
      <c r="K165" t="s">
        <v>492</v>
      </c>
      <c r="L165" s="2" t="s">
        <v>63</v>
      </c>
      <c r="M165" s="1">
        <v>45980</v>
      </c>
      <c r="N165" t="s">
        <v>64</v>
      </c>
      <c r="O165" t="s">
        <v>64</v>
      </c>
      <c r="Q165">
        <v>0</v>
      </c>
      <c r="R165">
        <v>0</v>
      </c>
      <c r="S165">
        <v>0</v>
      </c>
      <c r="T165" s="2">
        <v>0</v>
      </c>
      <c r="U165" s="2">
        <v>0</v>
      </c>
      <c r="V165" s="2">
        <v>0</v>
      </c>
      <c r="W165" s="2">
        <v>0</v>
      </c>
      <c r="X165">
        <v>735.83</v>
      </c>
      <c r="Y165">
        <v>0</v>
      </c>
      <c r="Z165">
        <v>0</v>
      </c>
      <c r="AA165">
        <v>0</v>
      </c>
      <c r="AB165">
        <v>0</v>
      </c>
      <c r="AC165">
        <v>0</v>
      </c>
      <c r="AD165" s="2">
        <v>0</v>
      </c>
      <c r="AE165">
        <v>0</v>
      </c>
      <c r="AF165">
        <v>0</v>
      </c>
      <c r="AG165">
        <v>-735.83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70.72</v>
      </c>
      <c r="AT165">
        <v>0</v>
      </c>
      <c r="AU165">
        <v>-70.72</v>
      </c>
      <c r="AV165">
        <v>0</v>
      </c>
    </row>
    <row r="166" spans="1:48" hidden="1" x14ac:dyDescent="0.2">
      <c r="A166">
        <v>102</v>
      </c>
      <c r="B166" t="s">
        <v>192</v>
      </c>
      <c r="C166" t="s">
        <v>193</v>
      </c>
      <c r="D166" t="s">
        <v>194</v>
      </c>
      <c r="E166" t="s">
        <v>195</v>
      </c>
      <c r="F166">
        <v>170</v>
      </c>
      <c r="G166" t="s">
        <v>489</v>
      </c>
      <c r="H166" t="s">
        <v>68</v>
      </c>
      <c r="I166" t="s">
        <v>69</v>
      </c>
      <c r="J166" s="2" t="s">
        <v>493</v>
      </c>
      <c r="K166" t="s">
        <v>494</v>
      </c>
      <c r="L166" s="2" t="s">
        <v>86</v>
      </c>
      <c r="M166" s="1">
        <v>46001</v>
      </c>
      <c r="N166" s="1">
        <v>46031</v>
      </c>
      <c r="O166" s="1">
        <v>46022</v>
      </c>
      <c r="Q166">
        <v>0</v>
      </c>
      <c r="R166">
        <v>0</v>
      </c>
      <c r="S166">
        <v>0</v>
      </c>
      <c r="T166" s="2">
        <v>0</v>
      </c>
      <c r="U166" s="2">
        <v>0</v>
      </c>
      <c r="V166" s="2">
        <v>0</v>
      </c>
      <c r="W166" s="2">
        <v>108</v>
      </c>
      <c r="X166">
        <v>0</v>
      </c>
      <c r="Y166">
        <v>0</v>
      </c>
      <c r="Z166">
        <v>0</v>
      </c>
      <c r="AA166">
        <v>34.93</v>
      </c>
      <c r="AB166">
        <v>58.4</v>
      </c>
      <c r="AC166">
        <v>3.96</v>
      </c>
      <c r="AD166" s="2">
        <v>97.29</v>
      </c>
      <c r="AE166">
        <v>10.71</v>
      </c>
      <c r="AF166">
        <v>9.92</v>
      </c>
      <c r="AG166">
        <v>10.71</v>
      </c>
      <c r="AH166">
        <v>9.92</v>
      </c>
      <c r="AI166">
        <v>0</v>
      </c>
      <c r="AJ166">
        <v>2.67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108</v>
      </c>
      <c r="AR166">
        <v>108</v>
      </c>
      <c r="AS166">
        <v>97.29</v>
      </c>
      <c r="AT166">
        <v>0</v>
      </c>
      <c r="AU166">
        <v>10.71</v>
      </c>
      <c r="AV166">
        <v>9.92</v>
      </c>
    </row>
    <row r="167" spans="1:48" hidden="1" x14ac:dyDescent="0.2">
      <c r="A167">
        <v>102</v>
      </c>
      <c r="B167" t="s">
        <v>192</v>
      </c>
      <c r="C167" t="s">
        <v>193</v>
      </c>
      <c r="D167" t="s">
        <v>194</v>
      </c>
      <c r="E167" t="s">
        <v>195</v>
      </c>
      <c r="F167">
        <v>170</v>
      </c>
      <c r="G167" t="s">
        <v>489</v>
      </c>
      <c r="H167" t="s">
        <v>68</v>
      </c>
      <c r="I167" t="s">
        <v>69</v>
      </c>
      <c r="J167" s="2" t="s">
        <v>495</v>
      </c>
      <c r="K167" t="s">
        <v>496</v>
      </c>
      <c r="L167" s="2" t="s">
        <v>86</v>
      </c>
      <c r="M167" s="1">
        <v>46017</v>
      </c>
      <c r="N167" s="1">
        <v>46033</v>
      </c>
      <c r="O167" t="s">
        <v>64</v>
      </c>
      <c r="Q167">
        <v>0</v>
      </c>
      <c r="R167">
        <v>0</v>
      </c>
      <c r="S167">
        <v>0</v>
      </c>
      <c r="T167" s="2">
        <v>0</v>
      </c>
      <c r="U167" s="2">
        <v>0</v>
      </c>
      <c r="V167" s="2">
        <v>0</v>
      </c>
      <c r="W167" s="2">
        <v>0</v>
      </c>
      <c r="X167">
        <v>0</v>
      </c>
      <c r="Y167">
        <v>0</v>
      </c>
      <c r="Z167">
        <v>0</v>
      </c>
      <c r="AA167">
        <v>12.39</v>
      </c>
      <c r="AB167">
        <v>27.59</v>
      </c>
      <c r="AC167">
        <v>1.82</v>
      </c>
      <c r="AD167" s="2">
        <v>41.8</v>
      </c>
      <c r="AE167">
        <v>-41.8</v>
      </c>
      <c r="AF167">
        <v>0</v>
      </c>
      <c r="AG167">
        <v>-41.8</v>
      </c>
      <c r="AH167">
        <v>0</v>
      </c>
      <c r="AI167">
        <v>0</v>
      </c>
      <c r="AJ167">
        <v>1.18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41.8</v>
      </c>
      <c r="AT167">
        <v>0</v>
      </c>
      <c r="AU167">
        <v>-41.8</v>
      </c>
      <c r="AV167">
        <v>0</v>
      </c>
    </row>
    <row r="168" spans="1:48" hidden="1" x14ac:dyDescent="0.2">
      <c r="A168">
        <v>102</v>
      </c>
      <c r="B168" t="s">
        <v>192</v>
      </c>
      <c r="C168" t="s">
        <v>193</v>
      </c>
      <c r="D168" t="s">
        <v>194</v>
      </c>
      <c r="E168" t="s">
        <v>195</v>
      </c>
      <c r="F168">
        <v>170</v>
      </c>
      <c r="G168" t="s">
        <v>489</v>
      </c>
      <c r="H168" t="s">
        <v>68</v>
      </c>
      <c r="I168" t="s">
        <v>69</v>
      </c>
      <c r="J168" s="2" t="s">
        <v>497</v>
      </c>
      <c r="K168" t="s">
        <v>496</v>
      </c>
      <c r="L168" s="2" t="s">
        <v>86</v>
      </c>
      <c r="M168" s="1">
        <v>46017</v>
      </c>
      <c r="N168" s="1">
        <v>46031</v>
      </c>
      <c r="O168" s="1">
        <v>46022</v>
      </c>
      <c r="Q168">
        <v>0</v>
      </c>
      <c r="R168">
        <v>0</v>
      </c>
      <c r="S168">
        <v>0</v>
      </c>
      <c r="T168" s="2">
        <v>0</v>
      </c>
      <c r="U168" s="2">
        <v>0</v>
      </c>
      <c r="V168" s="2">
        <v>0</v>
      </c>
      <c r="W168" s="2">
        <v>129.9</v>
      </c>
      <c r="X168">
        <v>0</v>
      </c>
      <c r="Y168">
        <v>1.83</v>
      </c>
      <c r="Z168">
        <v>0</v>
      </c>
      <c r="AA168">
        <v>32.21</v>
      </c>
      <c r="AB168">
        <v>20.5</v>
      </c>
      <c r="AC168">
        <v>2.48</v>
      </c>
      <c r="AD168" s="2">
        <v>57.02</v>
      </c>
      <c r="AE168">
        <v>72.88</v>
      </c>
      <c r="AF168">
        <v>56.1</v>
      </c>
      <c r="AG168">
        <v>72.88</v>
      </c>
      <c r="AH168">
        <v>56.1</v>
      </c>
      <c r="AI168">
        <v>0</v>
      </c>
      <c r="AJ168">
        <v>1.83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129.9</v>
      </c>
      <c r="AR168">
        <v>129.9</v>
      </c>
      <c r="AS168">
        <v>57.02</v>
      </c>
      <c r="AT168">
        <v>0</v>
      </c>
      <c r="AU168">
        <v>72.88</v>
      </c>
      <c r="AV168">
        <v>56.1</v>
      </c>
    </row>
    <row r="169" spans="1:48" hidden="1" x14ac:dyDescent="0.2">
      <c r="A169">
        <v>102</v>
      </c>
      <c r="B169" t="s">
        <v>192</v>
      </c>
      <c r="C169" t="s">
        <v>193</v>
      </c>
      <c r="D169" t="s">
        <v>194</v>
      </c>
      <c r="E169" t="s">
        <v>195</v>
      </c>
      <c r="F169">
        <v>172</v>
      </c>
      <c r="G169" t="s">
        <v>498</v>
      </c>
      <c r="H169" t="s">
        <v>68</v>
      </c>
      <c r="I169" t="s">
        <v>69</v>
      </c>
      <c r="J169" s="2" t="s">
        <v>499</v>
      </c>
      <c r="K169" t="s">
        <v>500</v>
      </c>
      <c r="L169" s="2" t="s">
        <v>86</v>
      </c>
      <c r="M169" s="1">
        <v>46003</v>
      </c>
      <c r="N169" s="1">
        <v>46029</v>
      </c>
      <c r="O169" s="1">
        <v>46022</v>
      </c>
      <c r="Q169">
        <v>0</v>
      </c>
      <c r="R169">
        <v>0</v>
      </c>
      <c r="S169">
        <v>0</v>
      </c>
      <c r="T169" s="2">
        <v>0</v>
      </c>
      <c r="U169" s="2">
        <v>0</v>
      </c>
      <c r="V169" s="2">
        <v>0</v>
      </c>
      <c r="W169" s="2">
        <v>112.75</v>
      </c>
      <c r="X169">
        <v>1.92</v>
      </c>
      <c r="Y169">
        <v>6.25</v>
      </c>
      <c r="Z169">
        <v>0</v>
      </c>
      <c r="AA169">
        <v>32.619999999999997</v>
      </c>
      <c r="AB169">
        <v>10.4</v>
      </c>
      <c r="AC169">
        <v>0</v>
      </c>
      <c r="AD169" s="2">
        <v>49.27</v>
      </c>
      <c r="AE169">
        <v>63.48</v>
      </c>
      <c r="AF169">
        <v>56.3</v>
      </c>
      <c r="AG169">
        <v>61.56</v>
      </c>
      <c r="AH169">
        <v>54.6</v>
      </c>
      <c r="AI169">
        <v>0</v>
      </c>
      <c r="AJ169">
        <v>1.32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112.75</v>
      </c>
      <c r="AR169">
        <v>112.75</v>
      </c>
      <c r="AS169">
        <v>49.27</v>
      </c>
      <c r="AT169">
        <v>0</v>
      </c>
      <c r="AU169">
        <v>63.48</v>
      </c>
      <c r="AV169">
        <v>56.3</v>
      </c>
    </row>
    <row r="170" spans="1:48" hidden="1" x14ac:dyDescent="0.2">
      <c r="A170">
        <v>102</v>
      </c>
      <c r="B170" t="s">
        <v>192</v>
      </c>
      <c r="C170" t="s">
        <v>193</v>
      </c>
      <c r="D170" t="s">
        <v>194</v>
      </c>
      <c r="E170" t="s">
        <v>195</v>
      </c>
      <c r="F170">
        <v>172</v>
      </c>
      <c r="G170" t="s">
        <v>498</v>
      </c>
      <c r="H170" t="s">
        <v>68</v>
      </c>
      <c r="I170" t="s">
        <v>69</v>
      </c>
      <c r="J170" s="2" t="s">
        <v>501</v>
      </c>
      <c r="K170" t="s">
        <v>502</v>
      </c>
      <c r="L170" s="2" t="s">
        <v>86</v>
      </c>
      <c r="M170" s="1">
        <v>46006</v>
      </c>
      <c r="N170" s="1">
        <v>46031</v>
      </c>
      <c r="O170" s="1">
        <v>46022</v>
      </c>
      <c r="Q170">
        <v>0</v>
      </c>
      <c r="R170">
        <v>0</v>
      </c>
      <c r="S170">
        <v>0</v>
      </c>
      <c r="T170" s="2">
        <v>0</v>
      </c>
      <c r="U170" s="2">
        <v>0</v>
      </c>
      <c r="V170" s="2">
        <v>0</v>
      </c>
      <c r="W170" s="2">
        <v>295.89999999999998</v>
      </c>
      <c r="X170">
        <v>0</v>
      </c>
      <c r="Y170">
        <v>31.86</v>
      </c>
      <c r="Z170">
        <v>0</v>
      </c>
      <c r="AA170">
        <v>66.5</v>
      </c>
      <c r="AB170">
        <v>87.95</v>
      </c>
      <c r="AC170">
        <v>6.96</v>
      </c>
      <c r="AD170" s="2">
        <v>193.27</v>
      </c>
      <c r="AE170">
        <v>102.63</v>
      </c>
      <c r="AF170">
        <v>34.68</v>
      </c>
      <c r="AG170">
        <v>102.63</v>
      </c>
      <c r="AH170">
        <v>34.68</v>
      </c>
      <c r="AI170">
        <v>0</v>
      </c>
      <c r="AJ170">
        <v>4.8899999999999997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295.89999999999998</v>
      </c>
      <c r="AR170">
        <v>295.89999999999998</v>
      </c>
      <c r="AS170">
        <v>193.27</v>
      </c>
      <c r="AT170">
        <v>0</v>
      </c>
      <c r="AU170">
        <v>102.63</v>
      </c>
      <c r="AV170">
        <v>34.68</v>
      </c>
    </row>
    <row r="171" spans="1:48" hidden="1" x14ac:dyDescent="0.2">
      <c r="A171">
        <v>102</v>
      </c>
      <c r="B171" t="s">
        <v>192</v>
      </c>
      <c r="C171" t="s">
        <v>193</v>
      </c>
      <c r="D171" t="s">
        <v>194</v>
      </c>
      <c r="E171" t="s">
        <v>195</v>
      </c>
      <c r="F171">
        <v>172</v>
      </c>
      <c r="G171" t="s">
        <v>498</v>
      </c>
      <c r="H171" t="s">
        <v>68</v>
      </c>
      <c r="I171" t="s">
        <v>69</v>
      </c>
      <c r="J171" s="2" t="s">
        <v>503</v>
      </c>
      <c r="K171" t="s">
        <v>504</v>
      </c>
      <c r="L171" s="2" t="s">
        <v>86</v>
      </c>
      <c r="M171" s="1">
        <v>46008</v>
      </c>
      <c r="N171" s="1">
        <v>46029</v>
      </c>
      <c r="O171" s="1">
        <v>46022</v>
      </c>
      <c r="Q171">
        <v>0</v>
      </c>
      <c r="R171">
        <v>0</v>
      </c>
      <c r="S171">
        <v>0</v>
      </c>
      <c r="T171" s="2">
        <v>0</v>
      </c>
      <c r="U171" s="2">
        <v>0</v>
      </c>
      <c r="V171" s="2">
        <v>0</v>
      </c>
      <c r="W171" s="2">
        <v>74</v>
      </c>
      <c r="X171">
        <v>0</v>
      </c>
      <c r="Y171">
        <v>0</v>
      </c>
      <c r="Z171">
        <v>0</v>
      </c>
      <c r="AA171">
        <v>19.41</v>
      </c>
      <c r="AB171">
        <v>2.3199999999999998</v>
      </c>
      <c r="AC171">
        <v>0.96</v>
      </c>
      <c r="AD171" s="2">
        <v>22.69</v>
      </c>
      <c r="AE171">
        <v>51.31</v>
      </c>
      <c r="AF171">
        <v>69.34</v>
      </c>
      <c r="AG171">
        <v>51.31</v>
      </c>
      <c r="AH171">
        <v>69.34</v>
      </c>
      <c r="AI171">
        <v>0</v>
      </c>
      <c r="AJ171">
        <v>0.86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74</v>
      </c>
      <c r="AR171">
        <v>74</v>
      </c>
      <c r="AS171">
        <v>22.69</v>
      </c>
      <c r="AT171">
        <v>0</v>
      </c>
      <c r="AU171">
        <v>51.31</v>
      </c>
      <c r="AV171">
        <v>69.34</v>
      </c>
    </row>
    <row r="172" spans="1:48" hidden="1" x14ac:dyDescent="0.2">
      <c r="A172">
        <v>102</v>
      </c>
      <c r="B172" t="s">
        <v>192</v>
      </c>
      <c r="C172" t="s">
        <v>193</v>
      </c>
      <c r="D172" t="s">
        <v>194</v>
      </c>
      <c r="E172" t="s">
        <v>195</v>
      </c>
      <c r="F172">
        <v>177</v>
      </c>
      <c r="G172" t="s">
        <v>505</v>
      </c>
      <c r="H172" t="s">
        <v>68</v>
      </c>
      <c r="I172" t="s">
        <v>69</v>
      </c>
      <c r="J172" s="2" t="s">
        <v>506</v>
      </c>
      <c r="K172" t="s">
        <v>507</v>
      </c>
      <c r="L172" s="2" t="s">
        <v>86</v>
      </c>
      <c r="M172" s="1">
        <v>46000</v>
      </c>
      <c r="N172" s="1">
        <v>46030</v>
      </c>
      <c r="O172" s="1">
        <v>46022</v>
      </c>
      <c r="Q172">
        <v>0</v>
      </c>
      <c r="R172">
        <v>0</v>
      </c>
      <c r="S172">
        <v>0</v>
      </c>
      <c r="T172" s="2">
        <v>0</v>
      </c>
      <c r="U172" s="2">
        <v>0</v>
      </c>
      <c r="V172" s="2">
        <v>0</v>
      </c>
      <c r="W172" s="2">
        <v>257.5</v>
      </c>
      <c r="X172">
        <v>0</v>
      </c>
      <c r="Y172">
        <v>57.59</v>
      </c>
      <c r="Z172">
        <v>0</v>
      </c>
      <c r="AA172">
        <v>63.58</v>
      </c>
      <c r="AB172">
        <v>108.48</v>
      </c>
      <c r="AC172">
        <v>8.06</v>
      </c>
      <c r="AD172" s="2">
        <v>237.71</v>
      </c>
      <c r="AE172">
        <v>19.79</v>
      </c>
      <c r="AF172">
        <v>7.69</v>
      </c>
      <c r="AG172">
        <v>19.79</v>
      </c>
      <c r="AH172">
        <v>7.69</v>
      </c>
      <c r="AI172">
        <v>0</v>
      </c>
      <c r="AJ172">
        <v>5.62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257.5</v>
      </c>
      <c r="AR172">
        <v>257.5</v>
      </c>
      <c r="AS172">
        <v>237.71</v>
      </c>
      <c r="AT172">
        <v>0</v>
      </c>
      <c r="AU172">
        <v>19.79</v>
      </c>
      <c r="AV172">
        <v>7.69</v>
      </c>
    </row>
    <row r="173" spans="1:48" hidden="1" x14ac:dyDescent="0.2">
      <c r="A173">
        <v>102</v>
      </c>
      <c r="B173" t="s">
        <v>192</v>
      </c>
      <c r="C173" t="s">
        <v>193</v>
      </c>
      <c r="D173" t="s">
        <v>194</v>
      </c>
      <c r="E173" t="s">
        <v>195</v>
      </c>
      <c r="F173">
        <v>178</v>
      </c>
      <c r="G173" t="s">
        <v>508</v>
      </c>
      <c r="H173" t="s">
        <v>68</v>
      </c>
      <c r="I173" t="s">
        <v>69</v>
      </c>
      <c r="J173" s="2" t="s">
        <v>509</v>
      </c>
      <c r="K173" t="s">
        <v>510</v>
      </c>
      <c r="L173" s="2" t="s">
        <v>86</v>
      </c>
      <c r="M173" s="1">
        <v>45993</v>
      </c>
      <c r="N173" s="1">
        <v>46029</v>
      </c>
      <c r="O173" s="1">
        <v>46022</v>
      </c>
      <c r="Q173">
        <v>0</v>
      </c>
      <c r="R173">
        <v>0</v>
      </c>
      <c r="S173">
        <v>0</v>
      </c>
      <c r="T173" s="2">
        <v>0</v>
      </c>
      <c r="U173" s="2">
        <v>0</v>
      </c>
      <c r="V173" s="2">
        <v>0</v>
      </c>
      <c r="W173" s="2">
        <v>91</v>
      </c>
      <c r="X173">
        <v>0</v>
      </c>
      <c r="Y173">
        <v>0</v>
      </c>
      <c r="Z173">
        <v>0</v>
      </c>
      <c r="AA173">
        <v>34.28</v>
      </c>
      <c r="AB173">
        <v>34.32</v>
      </c>
      <c r="AC173">
        <v>3.36</v>
      </c>
      <c r="AD173" s="2">
        <v>71.959999999999994</v>
      </c>
      <c r="AE173">
        <v>19.04</v>
      </c>
      <c r="AF173">
        <v>20.92</v>
      </c>
      <c r="AG173">
        <v>19.04</v>
      </c>
      <c r="AH173">
        <v>20.92</v>
      </c>
      <c r="AI173">
        <v>0</v>
      </c>
      <c r="AJ173">
        <v>2.23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91</v>
      </c>
      <c r="AR173">
        <v>91</v>
      </c>
      <c r="AS173">
        <v>71.959999999999994</v>
      </c>
      <c r="AT173">
        <v>0</v>
      </c>
      <c r="AU173">
        <v>19.04</v>
      </c>
      <c r="AV173">
        <v>20.92</v>
      </c>
    </row>
    <row r="174" spans="1:48" hidden="1" x14ac:dyDescent="0.2">
      <c r="A174">
        <v>102</v>
      </c>
      <c r="B174" t="s">
        <v>192</v>
      </c>
      <c r="C174" t="s">
        <v>193</v>
      </c>
      <c r="D174" t="s">
        <v>194</v>
      </c>
      <c r="E174" t="s">
        <v>195</v>
      </c>
      <c r="F174">
        <v>178</v>
      </c>
      <c r="G174" t="s">
        <v>508</v>
      </c>
      <c r="H174" t="s">
        <v>68</v>
      </c>
      <c r="I174" t="s">
        <v>69</v>
      </c>
      <c r="J174" s="2" t="s">
        <v>511</v>
      </c>
      <c r="K174" t="s">
        <v>512</v>
      </c>
      <c r="L174" s="2" t="s">
        <v>86</v>
      </c>
      <c r="M174" s="1">
        <v>46000</v>
      </c>
      <c r="N174" s="1">
        <v>46030</v>
      </c>
      <c r="O174" s="1">
        <v>46022</v>
      </c>
      <c r="Q174">
        <v>0</v>
      </c>
      <c r="R174">
        <v>0</v>
      </c>
      <c r="S174">
        <v>0</v>
      </c>
      <c r="T174" s="2">
        <v>0</v>
      </c>
      <c r="U174" s="2">
        <v>0</v>
      </c>
      <c r="V174" s="2">
        <v>0</v>
      </c>
      <c r="W174" s="2">
        <v>57</v>
      </c>
      <c r="X174">
        <v>0</v>
      </c>
      <c r="Y174">
        <v>0</v>
      </c>
      <c r="Z174">
        <v>0</v>
      </c>
      <c r="AA174">
        <v>8.67</v>
      </c>
      <c r="AB174">
        <v>10.54</v>
      </c>
      <c r="AC174">
        <v>0.93</v>
      </c>
      <c r="AD174" s="2">
        <v>20.14</v>
      </c>
      <c r="AE174">
        <v>36.86</v>
      </c>
      <c r="AF174">
        <v>64.67</v>
      </c>
      <c r="AG174">
        <v>36.86</v>
      </c>
      <c r="AH174">
        <v>64.67</v>
      </c>
      <c r="AI174">
        <v>0</v>
      </c>
      <c r="AJ174">
        <v>0.73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57</v>
      </c>
      <c r="AR174">
        <v>57</v>
      </c>
      <c r="AS174">
        <v>20.14</v>
      </c>
      <c r="AT174">
        <v>0</v>
      </c>
      <c r="AU174">
        <v>36.86</v>
      </c>
      <c r="AV174">
        <v>64.67</v>
      </c>
    </row>
    <row r="175" spans="1:48" hidden="1" x14ac:dyDescent="0.2">
      <c r="A175">
        <v>102</v>
      </c>
      <c r="B175" t="s">
        <v>192</v>
      </c>
      <c r="C175" t="s">
        <v>193</v>
      </c>
      <c r="D175" t="s">
        <v>194</v>
      </c>
      <c r="E175" t="s">
        <v>195</v>
      </c>
      <c r="F175">
        <v>179</v>
      </c>
      <c r="G175" t="s">
        <v>513</v>
      </c>
      <c r="H175" t="s">
        <v>68</v>
      </c>
      <c r="I175" t="s">
        <v>69</v>
      </c>
      <c r="J175" s="2" t="s">
        <v>514</v>
      </c>
      <c r="K175" t="s">
        <v>515</v>
      </c>
      <c r="L175" s="2" t="s">
        <v>86</v>
      </c>
      <c r="M175" s="1">
        <v>45958</v>
      </c>
      <c r="N175" s="1">
        <v>46030</v>
      </c>
      <c r="O175" s="1">
        <v>46022</v>
      </c>
      <c r="Q175">
        <v>0</v>
      </c>
      <c r="R175">
        <v>0</v>
      </c>
      <c r="S175">
        <v>0</v>
      </c>
      <c r="T175" s="2">
        <v>0</v>
      </c>
      <c r="U175" s="2">
        <v>0</v>
      </c>
      <c r="V175" s="2">
        <v>0</v>
      </c>
      <c r="W175" s="2">
        <v>647.67999999999995</v>
      </c>
      <c r="X175">
        <v>0</v>
      </c>
      <c r="Y175">
        <v>285.29000000000002</v>
      </c>
      <c r="Z175">
        <v>0</v>
      </c>
      <c r="AA175">
        <v>238.72</v>
      </c>
      <c r="AB175">
        <v>65.69</v>
      </c>
      <c r="AC175">
        <v>17.22</v>
      </c>
      <c r="AD175" s="2">
        <v>606.91999999999996</v>
      </c>
      <c r="AE175">
        <v>40.76</v>
      </c>
      <c r="AF175">
        <v>6.29</v>
      </c>
      <c r="AG175">
        <v>40.76</v>
      </c>
      <c r="AH175">
        <v>6.29</v>
      </c>
      <c r="AI175">
        <v>0</v>
      </c>
      <c r="AJ175">
        <v>10.98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647.67999999999995</v>
      </c>
      <c r="AR175">
        <v>647.67999999999995</v>
      </c>
      <c r="AS175">
        <v>684.31</v>
      </c>
      <c r="AT175">
        <v>0</v>
      </c>
      <c r="AU175">
        <v>-36.630000000000003</v>
      </c>
      <c r="AV175">
        <v>-5.66</v>
      </c>
    </row>
    <row r="176" spans="1:48" hidden="1" x14ac:dyDescent="0.2">
      <c r="A176">
        <v>102</v>
      </c>
      <c r="B176" t="s">
        <v>192</v>
      </c>
      <c r="C176" t="s">
        <v>193</v>
      </c>
      <c r="D176" t="s">
        <v>194</v>
      </c>
      <c r="E176" t="s">
        <v>195</v>
      </c>
      <c r="F176">
        <v>180</v>
      </c>
      <c r="G176" t="s">
        <v>516</v>
      </c>
      <c r="H176" t="s">
        <v>68</v>
      </c>
      <c r="I176" t="s">
        <v>69</v>
      </c>
      <c r="J176" s="2" t="s">
        <v>517</v>
      </c>
      <c r="K176" t="s">
        <v>518</v>
      </c>
      <c r="L176" s="2" t="s">
        <v>86</v>
      </c>
      <c r="M176" s="1">
        <v>45993</v>
      </c>
      <c r="N176" s="1">
        <v>46031</v>
      </c>
      <c r="O176" s="1">
        <v>46022</v>
      </c>
      <c r="Q176">
        <v>0</v>
      </c>
      <c r="R176">
        <v>0</v>
      </c>
      <c r="S176">
        <v>0</v>
      </c>
      <c r="T176" s="2">
        <v>0</v>
      </c>
      <c r="U176" s="2">
        <v>0</v>
      </c>
      <c r="V176" s="2">
        <v>0</v>
      </c>
      <c r="W176" s="2">
        <v>339.96</v>
      </c>
      <c r="X176">
        <v>0</v>
      </c>
      <c r="Y176">
        <v>50.91</v>
      </c>
      <c r="Z176">
        <v>0</v>
      </c>
      <c r="AA176">
        <v>77.2</v>
      </c>
      <c r="AB176">
        <v>18.100000000000001</v>
      </c>
      <c r="AC176">
        <v>7.42</v>
      </c>
      <c r="AD176" s="2">
        <v>153.63</v>
      </c>
      <c r="AE176">
        <v>186.33</v>
      </c>
      <c r="AF176">
        <v>54.81</v>
      </c>
      <c r="AG176">
        <v>186.33</v>
      </c>
      <c r="AH176">
        <v>54.81</v>
      </c>
      <c r="AI176">
        <v>0</v>
      </c>
      <c r="AJ176">
        <v>4.1500000000000004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339.96</v>
      </c>
      <c r="AR176">
        <v>339.96</v>
      </c>
      <c r="AS176">
        <v>153.63</v>
      </c>
      <c r="AT176">
        <v>0</v>
      </c>
      <c r="AU176">
        <v>186.33</v>
      </c>
      <c r="AV176">
        <v>54.81</v>
      </c>
    </row>
    <row r="177" spans="1:48" hidden="1" x14ac:dyDescent="0.2">
      <c r="A177">
        <v>102</v>
      </c>
      <c r="B177" t="s">
        <v>192</v>
      </c>
      <c r="C177" t="s">
        <v>193</v>
      </c>
      <c r="D177" t="s">
        <v>194</v>
      </c>
      <c r="E177" t="s">
        <v>195</v>
      </c>
      <c r="F177">
        <v>180</v>
      </c>
      <c r="G177" t="s">
        <v>516</v>
      </c>
      <c r="H177" t="s">
        <v>68</v>
      </c>
      <c r="I177" t="s">
        <v>69</v>
      </c>
      <c r="J177" s="2" t="s">
        <v>519</v>
      </c>
      <c r="K177" t="s">
        <v>520</v>
      </c>
      <c r="L177" s="2" t="s">
        <v>86</v>
      </c>
      <c r="M177" s="1">
        <v>46006</v>
      </c>
      <c r="N177" s="1">
        <v>46033</v>
      </c>
      <c r="O177" s="1">
        <v>46022</v>
      </c>
      <c r="Q177">
        <v>0</v>
      </c>
      <c r="R177">
        <v>0</v>
      </c>
      <c r="S177">
        <v>0</v>
      </c>
      <c r="T177" s="2">
        <v>0</v>
      </c>
      <c r="U177" s="2">
        <v>0</v>
      </c>
      <c r="V177" s="2">
        <v>0</v>
      </c>
      <c r="W177" s="2">
        <v>338.5</v>
      </c>
      <c r="X177">
        <v>0</v>
      </c>
      <c r="Y177">
        <v>58.6</v>
      </c>
      <c r="Z177">
        <v>0</v>
      </c>
      <c r="AA177">
        <v>107.25</v>
      </c>
      <c r="AB177">
        <v>25.32</v>
      </c>
      <c r="AC177">
        <v>7.83</v>
      </c>
      <c r="AD177" s="2">
        <v>199</v>
      </c>
      <c r="AE177">
        <v>139.5</v>
      </c>
      <c r="AF177">
        <v>41.21</v>
      </c>
      <c r="AG177">
        <v>139.5</v>
      </c>
      <c r="AH177">
        <v>41.21</v>
      </c>
      <c r="AI177">
        <v>0</v>
      </c>
      <c r="AJ177">
        <v>5.77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338.5</v>
      </c>
      <c r="AR177">
        <v>338.5</v>
      </c>
      <c r="AS177">
        <v>199</v>
      </c>
      <c r="AT177">
        <v>0</v>
      </c>
      <c r="AU177">
        <v>139.5</v>
      </c>
      <c r="AV177">
        <v>41.21</v>
      </c>
    </row>
    <row r="178" spans="1:48" hidden="1" x14ac:dyDescent="0.2">
      <c r="A178">
        <v>102</v>
      </c>
      <c r="B178" t="s">
        <v>192</v>
      </c>
      <c r="C178" t="s">
        <v>193</v>
      </c>
      <c r="D178" t="s">
        <v>194</v>
      </c>
      <c r="E178" t="s">
        <v>195</v>
      </c>
      <c r="F178">
        <v>181</v>
      </c>
      <c r="G178" t="s">
        <v>521</v>
      </c>
      <c r="H178" t="s">
        <v>68</v>
      </c>
      <c r="I178" t="s">
        <v>69</v>
      </c>
      <c r="J178" s="2" t="s">
        <v>522</v>
      </c>
      <c r="K178" t="s">
        <v>523</v>
      </c>
      <c r="L178" s="2" t="s">
        <v>63</v>
      </c>
      <c r="M178" s="1">
        <v>45995</v>
      </c>
      <c r="N178" t="s">
        <v>64</v>
      </c>
      <c r="O178" t="s">
        <v>64</v>
      </c>
      <c r="Q178">
        <v>0</v>
      </c>
      <c r="R178">
        <v>0</v>
      </c>
      <c r="S178">
        <v>0</v>
      </c>
      <c r="T178" s="2">
        <v>153</v>
      </c>
      <c r="U178" s="2">
        <v>0</v>
      </c>
      <c r="V178" s="2">
        <v>0</v>
      </c>
      <c r="W178" s="2">
        <v>0</v>
      </c>
      <c r="X178">
        <v>0</v>
      </c>
      <c r="Y178">
        <v>0</v>
      </c>
      <c r="Z178">
        <v>0</v>
      </c>
      <c r="AA178">
        <v>44.19</v>
      </c>
      <c r="AB178">
        <v>15.85</v>
      </c>
      <c r="AC178">
        <v>2.0099999999999998</v>
      </c>
      <c r="AD178" s="2">
        <v>62.05</v>
      </c>
      <c r="AE178">
        <v>-62.05</v>
      </c>
      <c r="AF178">
        <v>0</v>
      </c>
      <c r="AG178">
        <v>90.95</v>
      </c>
      <c r="AH178">
        <v>59.44</v>
      </c>
      <c r="AI178">
        <v>0</v>
      </c>
      <c r="AJ178">
        <v>2.15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62.05</v>
      </c>
      <c r="AT178">
        <v>0</v>
      </c>
      <c r="AU178">
        <v>-62.05</v>
      </c>
      <c r="AV178">
        <v>0</v>
      </c>
    </row>
    <row r="179" spans="1:48" hidden="1" x14ac:dyDescent="0.2">
      <c r="A179">
        <v>102</v>
      </c>
      <c r="B179" t="s">
        <v>192</v>
      </c>
      <c r="C179" t="s">
        <v>193</v>
      </c>
      <c r="D179" t="s">
        <v>194</v>
      </c>
      <c r="E179" t="s">
        <v>195</v>
      </c>
      <c r="F179">
        <v>181</v>
      </c>
      <c r="G179" t="s">
        <v>521</v>
      </c>
      <c r="H179" t="s">
        <v>68</v>
      </c>
      <c r="I179" t="s">
        <v>69</v>
      </c>
      <c r="J179" s="2" t="s">
        <v>524</v>
      </c>
      <c r="K179" t="s">
        <v>525</v>
      </c>
      <c r="L179" s="2" t="s">
        <v>86</v>
      </c>
      <c r="M179" s="1">
        <v>46011</v>
      </c>
      <c r="N179" s="1">
        <v>46029</v>
      </c>
      <c r="O179" s="1">
        <v>46022</v>
      </c>
      <c r="Q179">
        <v>0</v>
      </c>
      <c r="R179">
        <v>0</v>
      </c>
      <c r="S179">
        <v>0</v>
      </c>
      <c r="T179" s="2">
        <v>0</v>
      </c>
      <c r="U179" s="2">
        <v>0</v>
      </c>
      <c r="V179" s="2">
        <v>0</v>
      </c>
      <c r="W179" s="2">
        <v>177</v>
      </c>
      <c r="X179">
        <v>0</v>
      </c>
      <c r="Y179">
        <v>0</v>
      </c>
      <c r="Z179">
        <v>0</v>
      </c>
      <c r="AA179">
        <v>53.28</v>
      </c>
      <c r="AB179">
        <v>11.27</v>
      </c>
      <c r="AC179">
        <v>0</v>
      </c>
      <c r="AD179" s="2">
        <v>64.55</v>
      </c>
      <c r="AE179">
        <v>112.45</v>
      </c>
      <c r="AF179">
        <v>63.53</v>
      </c>
      <c r="AG179">
        <v>112.45</v>
      </c>
      <c r="AH179">
        <v>63.53</v>
      </c>
      <c r="AI179">
        <v>0</v>
      </c>
      <c r="AJ179">
        <v>2.5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177</v>
      </c>
      <c r="AR179">
        <v>177</v>
      </c>
      <c r="AS179">
        <v>64.55</v>
      </c>
      <c r="AT179">
        <v>0</v>
      </c>
      <c r="AU179">
        <v>112.45</v>
      </c>
      <c r="AV179">
        <v>63.53</v>
      </c>
    </row>
    <row r="180" spans="1:48" hidden="1" x14ac:dyDescent="0.2">
      <c r="A180">
        <v>102</v>
      </c>
      <c r="B180" t="s">
        <v>192</v>
      </c>
      <c r="C180" t="s">
        <v>193</v>
      </c>
      <c r="D180" t="s">
        <v>194</v>
      </c>
      <c r="E180" t="s">
        <v>195</v>
      </c>
      <c r="F180">
        <v>182</v>
      </c>
      <c r="G180" t="s">
        <v>526</v>
      </c>
      <c r="H180" t="s">
        <v>68</v>
      </c>
      <c r="I180" t="s">
        <v>69</v>
      </c>
      <c r="J180" s="2" t="s">
        <v>527</v>
      </c>
      <c r="K180" t="s">
        <v>528</v>
      </c>
      <c r="L180" s="2" t="s">
        <v>86</v>
      </c>
      <c r="M180" s="1">
        <v>45909</v>
      </c>
      <c r="N180" s="1">
        <v>45929</v>
      </c>
      <c r="O180" s="1">
        <v>45930</v>
      </c>
      <c r="Q180">
        <v>0</v>
      </c>
      <c r="R180">
        <v>0</v>
      </c>
      <c r="S180">
        <v>0</v>
      </c>
      <c r="T180" s="2">
        <v>0</v>
      </c>
      <c r="U180" s="2">
        <v>0</v>
      </c>
      <c r="V180" s="2">
        <v>0</v>
      </c>
      <c r="W180" s="2">
        <v>0</v>
      </c>
      <c r="X180">
        <v>0</v>
      </c>
      <c r="Y180">
        <v>0</v>
      </c>
      <c r="Z180">
        <v>395</v>
      </c>
      <c r="AA180">
        <v>0</v>
      </c>
      <c r="AB180">
        <v>0</v>
      </c>
      <c r="AC180">
        <v>0</v>
      </c>
      <c r="AD180" s="2">
        <v>395</v>
      </c>
      <c r="AE180">
        <v>-395</v>
      </c>
      <c r="AF180">
        <v>0</v>
      </c>
      <c r="AG180">
        <v>-395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206.5</v>
      </c>
      <c r="AS180">
        <v>521.58000000000004</v>
      </c>
      <c r="AT180">
        <v>0</v>
      </c>
      <c r="AU180">
        <v>-315.08</v>
      </c>
      <c r="AV180">
        <v>-152.58000000000001</v>
      </c>
    </row>
    <row r="181" spans="1:48" hidden="1" x14ac:dyDescent="0.2">
      <c r="A181">
        <v>102</v>
      </c>
      <c r="B181" t="s">
        <v>192</v>
      </c>
      <c r="C181" t="s">
        <v>193</v>
      </c>
      <c r="D181" t="s">
        <v>194</v>
      </c>
      <c r="E181" t="s">
        <v>195</v>
      </c>
      <c r="F181">
        <v>184</v>
      </c>
      <c r="G181" t="s">
        <v>529</v>
      </c>
      <c r="H181" t="s">
        <v>68</v>
      </c>
      <c r="I181" t="s">
        <v>69</v>
      </c>
      <c r="J181" s="2" t="s">
        <v>530</v>
      </c>
      <c r="K181" t="s">
        <v>531</v>
      </c>
      <c r="L181" s="2" t="s">
        <v>86</v>
      </c>
      <c r="M181" s="1">
        <v>45936</v>
      </c>
      <c r="N181" s="1">
        <v>46034</v>
      </c>
      <c r="O181" s="1">
        <v>46022</v>
      </c>
      <c r="Q181">
        <v>0</v>
      </c>
      <c r="R181">
        <v>0</v>
      </c>
      <c r="S181">
        <v>0</v>
      </c>
      <c r="T181" s="2">
        <v>0</v>
      </c>
      <c r="U181" s="2">
        <v>0</v>
      </c>
      <c r="V181" s="2">
        <v>0</v>
      </c>
      <c r="W181" s="2">
        <v>4482.5200000000004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 s="2">
        <v>0</v>
      </c>
      <c r="AE181">
        <v>4482.5200000000004</v>
      </c>
      <c r="AF181">
        <v>100</v>
      </c>
      <c r="AG181">
        <v>4482.5200000000004</v>
      </c>
      <c r="AH181">
        <v>100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4482.5200000000004</v>
      </c>
      <c r="AR181">
        <v>4482.5200000000004</v>
      </c>
      <c r="AS181">
        <v>2921.14</v>
      </c>
      <c r="AT181">
        <v>0</v>
      </c>
      <c r="AU181">
        <v>1561.38</v>
      </c>
      <c r="AV181">
        <v>34.83</v>
      </c>
    </row>
    <row r="182" spans="1:48" hidden="1" x14ac:dyDescent="0.2">
      <c r="A182">
        <v>102</v>
      </c>
      <c r="B182" t="s">
        <v>192</v>
      </c>
      <c r="C182" t="s">
        <v>193</v>
      </c>
      <c r="D182" t="s">
        <v>194</v>
      </c>
      <c r="E182" t="s">
        <v>195</v>
      </c>
      <c r="F182">
        <v>185</v>
      </c>
      <c r="G182" t="s">
        <v>532</v>
      </c>
      <c r="H182" t="s">
        <v>68</v>
      </c>
      <c r="I182" t="s">
        <v>69</v>
      </c>
      <c r="J182" s="2" t="s">
        <v>533</v>
      </c>
      <c r="K182" t="s">
        <v>534</v>
      </c>
      <c r="L182" s="2" t="s">
        <v>86</v>
      </c>
      <c r="M182" s="1">
        <v>45995</v>
      </c>
      <c r="N182" s="1">
        <v>46029</v>
      </c>
      <c r="O182" s="1">
        <v>46022</v>
      </c>
      <c r="Q182">
        <v>0</v>
      </c>
      <c r="R182">
        <v>0</v>
      </c>
      <c r="S182">
        <v>0</v>
      </c>
      <c r="T182" s="2">
        <v>0</v>
      </c>
      <c r="U182" s="2">
        <v>0</v>
      </c>
      <c r="V182" s="2">
        <v>0</v>
      </c>
      <c r="W182" s="2">
        <v>91</v>
      </c>
      <c r="X182">
        <v>0</v>
      </c>
      <c r="Y182">
        <v>0</v>
      </c>
      <c r="Z182">
        <v>0</v>
      </c>
      <c r="AA182">
        <v>52.86</v>
      </c>
      <c r="AB182">
        <v>29.25</v>
      </c>
      <c r="AC182">
        <v>3.12</v>
      </c>
      <c r="AD182" s="2">
        <v>85.23</v>
      </c>
      <c r="AE182">
        <v>5.77</v>
      </c>
      <c r="AF182">
        <v>6.34</v>
      </c>
      <c r="AG182">
        <v>5.77</v>
      </c>
      <c r="AH182">
        <v>6.34</v>
      </c>
      <c r="AI182">
        <v>0</v>
      </c>
      <c r="AJ182">
        <v>2.88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91</v>
      </c>
      <c r="AR182">
        <v>91</v>
      </c>
      <c r="AS182">
        <v>85.23</v>
      </c>
      <c r="AT182">
        <v>0</v>
      </c>
      <c r="AU182">
        <v>5.77</v>
      </c>
      <c r="AV182">
        <v>6.34</v>
      </c>
    </row>
    <row r="183" spans="1:48" hidden="1" x14ac:dyDescent="0.2">
      <c r="A183">
        <v>102</v>
      </c>
      <c r="B183" t="s">
        <v>192</v>
      </c>
      <c r="C183" t="s">
        <v>193</v>
      </c>
      <c r="D183" t="s">
        <v>194</v>
      </c>
      <c r="E183" t="s">
        <v>195</v>
      </c>
      <c r="F183">
        <v>185</v>
      </c>
      <c r="G183" t="s">
        <v>532</v>
      </c>
      <c r="H183" t="s">
        <v>68</v>
      </c>
      <c r="I183" t="s">
        <v>69</v>
      </c>
      <c r="J183" s="2" t="s">
        <v>535</v>
      </c>
      <c r="K183" t="s">
        <v>536</v>
      </c>
      <c r="L183" s="2" t="s">
        <v>86</v>
      </c>
      <c r="M183" s="1">
        <v>46002</v>
      </c>
      <c r="N183" s="1">
        <v>46009</v>
      </c>
      <c r="O183" s="1">
        <v>46022</v>
      </c>
      <c r="Q183">
        <v>0</v>
      </c>
      <c r="R183">
        <v>0</v>
      </c>
      <c r="S183">
        <v>0</v>
      </c>
      <c r="T183" s="2">
        <v>0</v>
      </c>
      <c r="U183" s="2">
        <v>0</v>
      </c>
      <c r="V183" s="2">
        <v>0</v>
      </c>
      <c r="W183" s="2">
        <v>2216</v>
      </c>
      <c r="X183">
        <v>0</v>
      </c>
      <c r="Y183">
        <v>1451.43</v>
      </c>
      <c r="Z183">
        <v>0</v>
      </c>
      <c r="AA183">
        <v>90.72</v>
      </c>
      <c r="AB183">
        <v>44.64</v>
      </c>
      <c r="AC183">
        <v>7.56</v>
      </c>
      <c r="AD183" s="2">
        <v>1594.35</v>
      </c>
      <c r="AE183">
        <v>621.65</v>
      </c>
      <c r="AF183">
        <v>28.05</v>
      </c>
      <c r="AG183">
        <v>621.65</v>
      </c>
      <c r="AH183">
        <v>28.05</v>
      </c>
      <c r="AI183">
        <v>0</v>
      </c>
      <c r="AJ183">
        <v>5.6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2216</v>
      </c>
      <c r="AR183">
        <v>2216</v>
      </c>
      <c r="AS183">
        <v>1594.35</v>
      </c>
      <c r="AT183">
        <v>0</v>
      </c>
      <c r="AU183">
        <v>621.65</v>
      </c>
      <c r="AV183">
        <v>28.05</v>
      </c>
    </row>
    <row r="184" spans="1:48" hidden="1" x14ac:dyDescent="0.2">
      <c r="A184">
        <v>102</v>
      </c>
      <c r="B184" t="s">
        <v>192</v>
      </c>
      <c r="C184" t="s">
        <v>193</v>
      </c>
      <c r="D184" t="s">
        <v>194</v>
      </c>
      <c r="E184" t="s">
        <v>195</v>
      </c>
      <c r="F184">
        <v>186</v>
      </c>
      <c r="G184" t="s">
        <v>537</v>
      </c>
      <c r="H184" t="s">
        <v>68</v>
      </c>
      <c r="I184" t="s">
        <v>69</v>
      </c>
      <c r="J184" s="2" t="s">
        <v>538</v>
      </c>
      <c r="K184" t="s">
        <v>539</v>
      </c>
      <c r="L184" s="2" t="s">
        <v>86</v>
      </c>
      <c r="M184" s="1">
        <v>46001</v>
      </c>
      <c r="N184" s="1">
        <v>46030</v>
      </c>
      <c r="O184" s="1">
        <v>46022</v>
      </c>
      <c r="Q184">
        <v>0</v>
      </c>
      <c r="R184">
        <v>0</v>
      </c>
      <c r="S184">
        <v>0</v>
      </c>
      <c r="T184" s="2">
        <v>0</v>
      </c>
      <c r="U184" s="2">
        <v>0</v>
      </c>
      <c r="V184" s="2">
        <v>0</v>
      </c>
      <c r="W184" s="2">
        <v>108</v>
      </c>
      <c r="X184">
        <v>0</v>
      </c>
      <c r="Y184">
        <v>0</v>
      </c>
      <c r="Z184">
        <v>0</v>
      </c>
      <c r="AA184">
        <v>47.91</v>
      </c>
      <c r="AB184">
        <v>11.36</v>
      </c>
      <c r="AC184">
        <v>2.52</v>
      </c>
      <c r="AD184" s="2">
        <v>61.79</v>
      </c>
      <c r="AE184">
        <v>46.21</v>
      </c>
      <c r="AF184">
        <v>42.79</v>
      </c>
      <c r="AG184">
        <v>46.21</v>
      </c>
      <c r="AH184">
        <v>42.79</v>
      </c>
      <c r="AI184">
        <v>0</v>
      </c>
      <c r="AJ184">
        <v>2.06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108</v>
      </c>
      <c r="AR184">
        <v>108</v>
      </c>
      <c r="AS184">
        <v>61.79</v>
      </c>
      <c r="AT184">
        <v>0</v>
      </c>
      <c r="AU184">
        <v>46.21</v>
      </c>
      <c r="AV184">
        <v>42.79</v>
      </c>
    </row>
    <row r="185" spans="1:48" hidden="1" x14ac:dyDescent="0.2">
      <c r="A185">
        <v>102</v>
      </c>
      <c r="B185" t="s">
        <v>192</v>
      </c>
      <c r="C185" t="s">
        <v>193</v>
      </c>
      <c r="D185" t="s">
        <v>194</v>
      </c>
      <c r="E185" t="s">
        <v>195</v>
      </c>
      <c r="F185">
        <v>186</v>
      </c>
      <c r="G185" t="s">
        <v>537</v>
      </c>
      <c r="H185" t="s">
        <v>68</v>
      </c>
      <c r="I185" t="s">
        <v>69</v>
      </c>
      <c r="J185" s="2" t="s">
        <v>540</v>
      </c>
      <c r="K185" t="s">
        <v>541</v>
      </c>
      <c r="L185" s="2" t="s">
        <v>86</v>
      </c>
      <c r="M185" s="1">
        <v>46002</v>
      </c>
      <c r="N185" s="1">
        <v>46030</v>
      </c>
      <c r="O185" s="1">
        <v>46022</v>
      </c>
      <c r="Q185">
        <v>0</v>
      </c>
      <c r="R185">
        <v>0</v>
      </c>
      <c r="S185">
        <v>0</v>
      </c>
      <c r="T185" s="2">
        <v>0</v>
      </c>
      <c r="U185" s="2">
        <v>0</v>
      </c>
      <c r="V185" s="2">
        <v>0</v>
      </c>
      <c r="W185" s="2">
        <v>92.95</v>
      </c>
      <c r="X185">
        <v>0</v>
      </c>
      <c r="Y185">
        <v>30.45</v>
      </c>
      <c r="Z185">
        <v>0</v>
      </c>
      <c r="AA185">
        <v>11.98</v>
      </c>
      <c r="AB185">
        <v>0</v>
      </c>
      <c r="AC185">
        <v>0.6</v>
      </c>
      <c r="AD185" s="2">
        <v>43.03</v>
      </c>
      <c r="AE185">
        <v>49.92</v>
      </c>
      <c r="AF185">
        <v>53.71</v>
      </c>
      <c r="AG185">
        <v>49.92</v>
      </c>
      <c r="AH185">
        <v>53.71</v>
      </c>
      <c r="AI185">
        <v>0</v>
      </c>
      <c r="AJ185">
        <v>0.48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92.95</v>
      </c>
      <c r="AR185">
        <v>92.95</v>
      </c>
      <c r="AS185">
        <v>43.03</v>
      </c>
      <c r="AT185">
        <v>0</v>
      </c>
      <c r="AU185">
        <v>49.92</v>
      </c>
      <c r="AV185">
        <v>53.71</v>
      </c>
    </row>
    <row r="186" spans="1:48" hidden="1" x14ac:dyDescent="0.2">
      <c r="A186">
        <v>102</v>
      </c>
      <c r="B186" t="s">
        <v>192</v>
      </c>
      <c r="C186" t="s">
        <v>193</v>
      </c>
      <c r="D186" t="s">
        <v>194</v>
      </c>
      <c r="E186" t="s">
        <v>195</v>
      </c>
      <c r="F186">
        <v>187</v>
      </c>
      <c r="G186" t="s">
        <v>542</v>
      </c>
      <c r="H186" t="s">
        <v>68</v>
      </c>
      <c r="I186" t="s">
        <v>69</v>
      </c>
      <c r="J186" s="2" t="s">
        <v>543</v>
      </c>
      <c r="K186" t="s">
        <v>544</v>
      </c>
      <c r="L186" s="2" t="s">
        <v>86</v>
      </c>
      <c r="M186" s="1">
        <v>45972</v>
      </c>
      <c r="N186" s="1">
        <v>45995</v>
      </c>
      <c r="O186" s="1">
        <v>45991</v>
      </c>
      <c r="Q186">
        <v>0</v>
      </c>
      <c r="R186">
        <v>0</v>
      </c>
      <c r="S186">
        <v>0</v>
      </c>
      <c r="T186" s="2">
        <v>0</v>
      </c>
      <c r="U186" s="2">
        <v>0</v>
      </c>
      <c r="V186" s="2">
        <v>0</v>
      </c>
      <c r="W186" s="2">
        <v>0</v>
      </c>
      <c r="X186">
        <v>0</v>
      </c>
      <c r="Y186">
        <v>0</v>
      </c>
      <c r="Z186">
        <v>200</v>
      </c>
      <c r="AA186">
        <v>0</v>
      </c>
      <c r="AB186">
        <v>0</v>
      </c>
      <c r="AC186">
        <v>0</v>
      </c>
      <c r="AD186" s="2">
        <v>200</v>
      </c>
      <c r="AE186">
        <v>-200</v>
      </c>
      <c r="AF186">
        <v>0</v>
      </c>
      <c r="AG186">
        <v>-200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1260</v>
      </c>
      <c r="AS186">
        <v>791.75</v>
      </c>
      <c r="AT186">
        <v>0</v>
      </c>
      <c r="AU186">
        <v>468.25</v>
      </c>
      <c r="AV186">
        <v>37.159999999999997</v>
      </c>
    </row>
    <row r="187" spans="1:48" hidden="1" x14ac:dyDescent="0.2">
      <c r="A187">
        <v>102</v>
      </c>
      <c r="B187" t="s">
        <v>192</v>
      </c>
      <c r="C187" t="s">
        <v>193</v>
      </c>
      <c r="D187" t="s">
        <v>194</v>
      </c>
      <c r="E187" t="s">
        <v>195</v>
      </c>
      <c r="F187">
        <v>189</v>
      </c>
      <c r="G187" t="s">
        <v>545</v>
      </c>
      <c r="H187" t="s">
        <v>68</v>
      </c>
      <c r="I187" t="s">
        <v>69</v>
      </c>
      <c r="J187" s="2" t="s">
        <v>546</v>
      </c>
      <c r="K187" t="s">
        <v>334</v>
      </c>
      <c r="L187" s="2" t="s">
        <v>86</v>
      </c>
      <c r="M187" s="1">
        <v>45989</v>
      </c>
      <c r="N187" s="1">
        <v>46029</v>
      </c>
      <c r="O187" s="1">
        <v>46022</v>
      </c>
      <c r="Q187">
        <v>0</v>
      </c>
      <c r="R187">
        <v>0</v>
      </c>
      <c r="S187">
        <v>0</v>
      </c>
      <c r="T187" s="2">
        <v>0</v>
      </c>
      <c r="U187" s="2">
        <v>0</v>
      </c>
      <c r="V187" s="2">
        <v>0</v>
      </c>
      <c r="W187" s="2">
        <v>330.25</v>
      </c>
      <c r="X187">
        <v>0</v>
      </c>
      <c r="Y187">
        <v>60.74</v>
      </c>
      <c r="Z187">
        <v>0</v>
      </c>
      <c r="AA187">
        <v>64.010000000000005</v>
      </c>
      <c r="AB187">
        <v>60.63</v>
      </c>
      <c r="AC187">
        <v>6.14</v>
      </c>
      <c r="AD187" s="2">
        <v>191.52</v>
      </c>
      <c r="AE187">
        <v>138.72999999999999</v>
      </c>
      <c r="AF187">
        <v>42.01</v>
      </c>
      <c r="AG187">
        <v>138.72999999999999</v>
      </c>
      <c r="AH187">
        <v>42.01</v>
      </c>
      <c r="AI187">
        <v>0</v>
      </c>
      <c r="AJ187">
        <v>3.75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330.25</v>
      </c>
      <c r="AR187">
        <v>330.25</v>
      </c>
      <c r="AS187">
        <v>191.52</v>
      </c>
      <c r="AT187">
        <v>0</v>
      </c>
      <c r="AU187">
        <v>138.72999999999999</v>
      </c>
      <c r="AV187">
        <v>42.01</v>
      </c>
    </row>
    <row r="188" spans="1:48" hidden="1" x14ac:dyDescent="0.2">
      <c r="A188">
        <v>102</v>
      </c>
      <c r="B188" t="s">
        <v>192</v>
      </c>
      <c r="C188" t="s">
        <v>193</v>
      </c>
      <c r="D188" t="s">
        <v>194</v>
      </c>
      <c r="E188" t="s">
        <v>195</v>
      </c>
      <c r="F188">
        <v>191</v>
      </c>
      <c r="G188" t="s">
        <v>547</v>
      </c>
      <c r="H188" t="s">
        <v>68</v>
      </c>
      <c r="I188" t="s">
        <v>69</v>
      </c>
      <c r="J188" s="2" t="s">
        <v>548</v>
      </c>
      <c r="K188" t="s">
        <v>549</v>
      </c>
      <c r="L188" s="2" t="s">
        <v>86</v>
      </c>
      <c r="M188" s="1">
        <v>46020</v>
      </c>
      <c r="N188" s="1">
        <v>46030</v>
      </c>
      <c r="O188" s="1">
        <v>46022</v>
      </c>
      <c r="Q188">
        <v>0</v>
      </c>
      <c r="R188">
        <v>0</v>
      </c>
      <c r="S188">
        <v>0</v>
      </c>
      <c r="T188" s="2">
        <v>0</v>
      </c>
      <c r="U188" s="2">
        <v>0</v>
      </c>
      <c r="V188" s="2">
        <v>0</v>
      </c>
      <c r="W188" s="2">
        <v>159.75</v>
      </c>
      <c r="X188">
        <v>0</v>
      </c>
      <c r="Y188">
        <v>12.56</v>
      </c>
      <c r="Z188">
        <v>0</v>
      </c>
      <c r="AA188">
        <v>38.409999999999997</v>
      </c>
      <c r="AB188">
        <v>23.22</v>
      </c>
      <c r="AC188">
        <v>2.21</v>
      </c>
      <c r="AD188" s="2">
        <v>76.400000000000006</v>
      </c>
      <c r="AE188">
        <v>83.35</v>
      </c>
      <c r="AF188">
        <v>52.18</v>
      </c>
      <c r="AG188">
        <v>83.35</v>
      </c>
      <c r="AH188">
        <v>52.18</v>
      </c>
      <c r="AI188">
        <v>0</v>
      </c>
      <c r="AJ188">
        <v>1.98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159.75</v>
      </c>
      <c r="AR188">
        <v>159.75</v>
      </c>
      <c r="AS188">
        <v>76.400000000000006</v>
      </c>
      <c r="AT188">
        <v>0</v>
      </c>
      <c r="AU188">
        <v>83.35</v>
      </c>
      <c r="AV188">
        <v>52.18</v>
      </c>
    </row>
    <row r="189" spans="1:48" hidden="1" x14ac:dyDescent="0.2">
      <c r="A189">
        <v>102</v>
      </c>
      <c r="B189" t="s">
        <v>192</v>
      </c>
      <c r="C189" t="s">
        <v>193</v>
      </c>
      <c r="D189" t="s">
        <v>194</v>
      </c>
      <c r="E189" t="s">
        <v>195</v>
      </c>
      <c r="F189">
        <v>193</v>
      </c>
      <c r="G189" t="s">
        <v>550</v>
      </c>
      <c r="H189" t="s">
        <v>68</v>
      </c>
      <c r="I189" t="s">
        <v>69</v>
      </c>
      <c r="J189" s="2" t="s">
        <v>551</v>
      </c>
      <c r="K189" t="s">
        <v>552</v>
      </c>
      <c r="L189" s="2" t="s">
        <v>86</v>
      </c>
      <c r="M189" s="1">
        <v>45992</v>
      </c>
      <c r="N189" s="1">
        <v>46030</v>
      </c>
      <c r="O189" s="1">
        <v>46022</v>
      </c>
      <c r="Q189">
        <v>0</v>
      </c>
      <c r="R189">
        <v>0</v>
      </c>
      <c r="S189">
        <v>0</v>
      </c>
      <c r="T189" s="2">
        <v>0</v>
      </c>
      <c r="U189" s="2">
        <v>0</v>
      </c>
      <c r="V189" s="2">
        <v>0</v>
      </c>
      <c r="W189" s="2">
        <v>74</v>
      </c>
      <c r="X189">
        <v>0</v>
      </c>
      <c r="Y189">
        <v>0</v>
      </c>
      <c r="Z189">
        <v>0</v>
      </c>
      <c r="AA189">
        <v>21.06</v>
      </c>
      <c r="AB189">
        <v>10.86</v>
      </c>
      <c r="AC189">
        <v>2.2799999999999998</v>
      </c>
      <c r="AD189" s="2">
        <v>34.200000000000003</v>
      </c>
      <c r="AE189">
        <v>39.799999999999997</v>
      </c>
      <c r="AF189">
        <v>53.78</v>
      </c>
      <c r="AG189">
        <v>39.799999999999997</v>
      </c>
      <c r="AH189">
        <v>53.78</v>
      </c>
      <c r="AI189">
        <v>0</v>
      </c>
      <c r="AJ189">
        <v>1.18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74</v>
      </c>
      <c r="AR189">
        <v>74</v>
      </c>
      <c r="AS189">
        <v>34.200000000000003</v>
      </c>
      <c r="AT189">
        <v>0</v>
      </c>
      <c r="AU189">
        <v>39.799999999999997</v>
      </c>
      <c r="AV189">
        <v>53.78</v>
      </c>
    </row>
    <row r="190" spans="1:48" hidden="1" x14ac:dyDescent="0.2">
      <c r="A190">
        <v>102</v>
      </c>
      <c r="B190" t="s">
        <v>192</v>
      </c>
      <c r="C190" t="s">
        <v>193</v>
      </c>
      <c r="D190" t="s">
        <v>194</v>
      </c>
      <c r="E190" t="s">
        <v>195</v>
      </c>
      <c r="F190">
        <v>193</v>
      </c>
      <c r="G190" t="s">
        <v>550</v>
      </c>
      <c r="H190" t="s">
        <v>68</v>
      </c>
      <c r="I190" t="s">
        <v>69</v>
      </c>
      <c r="J190" s="2" t="s">
        <v>553</v>
      </c>
      <c r="K190" t="s">
        <v>554</v>
      </c>
      <c r="L190" s="2" t="s">
        <v>86</v>
      </c>
      <c r="M190" s="1">
        <v>46001</v>
      </c>
      <c r="N190" s="1">
        <v>46009</v>
      </c>
      <c r="O190" s="1">
        <v>46022</v>
      </c>
      <c r="Q190">
        <v>0</v>
      </c>
      <c r="R190">
        <v>0</v>
      </c>
      <c r="S190">
        <v>0</v>
      </c>
      <c r="T190" s="2">
        <v>0</v>
      </c>
      <c r="U190" s="2">
        <v>0</v>
      </c>
      <c r="V190" s="2">
        <v>0</v>
      </c>
      <c r="W190" s="2">
        <v>137.75</v>
      </c>
      <c r="X190">
        <v>0</v>
      </c>
      <c r="Y190">
        <v>15.3</v>
      </c>
      <c r="Z190">
        <v>0</v>
      </c>
      <c r="AA190">
        <v>38</v>
      </c>
      <c r="AB190">
        <v>7.91</v>
      </c>
      <c r="AC190">
        <v>1.95</v>
      </c>
      <c r="AD190" s="2">
        <v>63.16</v>
      </c>
      <c r="AE190">
        <v>74.59</v>
      </c>
      <c r="AF190">
        <v>54.15</v>
      </c>
      <c r="AG190">
        <v>74.59</v>
      </c>
      <c r="AH190">
        <v>54.15</v>
      </c>
      <c r="AI190">
        <v>0</v>
      </c>
      <c r="AJ190">
        <v>1.8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137.75</v>
      </c>
      <c r="AR190">
        <v>137.75</v>
      </c>
      <c r="AS190">
        <v>63.16</v>
      </c>
      <c r="AT190">
        <v>0</v>
      </c>
      <c r="AU190">
        <v>74.59</v>
      </c>
      <c r="AV190">
        <v>54.15</v>
      </c>
    </row>
    <row r="191" spans="1:48" hidden="1" x14ac:dyDescent="0.2">
      <c r="A191">
        <v>102</v>
      </c>
      <c r="B191" t="s">
        <v>192</v>
      </c>
      <c r="C191" t="s">
        <v>193</v>
      </c>
      <c r="D191" t="s">
        <v>194</v>
      </c>
      <c r="E191" t="s">
        <v>195</v>
      </c>
      <c r="F191">
        <v>193</v>
      </c>
      <c r="G191" t="s">
        <v>550</v>
      </c>
      <c r="H191" t="s">
        <v>68</v>
      </c>
      <c r="I191" t="s">
        <v>69</v>
      </c>
      <c r="J191" s="2" t="s">
        <v>555</v>
      </c>
      <c r="K191" t="s">
        <v>556</v>
      </c>
      <c r="L191" s="2" t="s">
        <v>86</v>
      </c>
      <c r="M191" s="1">
        <v>46006</v>
      </c>
      <c r="N191" s="1">
        <v>46030</v>
      </c>
      <c r="O191" s="1">
        <v>46022</v>
      </c>
      <c r="Q191">
        <v>0</v>
      </c>
      <c r="R191">
        <v>0</v>
      </c>
      <c r="S191">
        <v>0</v>
      </c>
      <c r="T191" s="2">
        <v>0</v>
      </c>
      <c r="U191" s="2">
        <v>0</v>
      </c>
      <c r="V191" s="2">
        <v>0</v>
      </c>
      <c r="W191" s="2">
        <v>91</v>
      </c>
      <c r="X191">
        <v>0</v>
      </c>
      <c r="Y191">
        <v>0</v>
      </c>
      <c r="Z191">
        <v>0</v>
      </c>
      <c r="AA191">
        <v>36.76</v>
      </c>
      <c r="AB191">
        <v>4.6500000000000004</v>
      </c>
      <c r="AC191">
        <v>2.5</v>
      </c>
      <c r="AD191" s="2">
        <v>43.91</v>
      </c>
      <c r="AE191">
        <v>47.09</v>
      </c>
      <c r="AF191">
        <v>51.75</v>
      </c>
      <c r="AG191">
        <v>47.09</v>
      </c>
      <c r="AH191">
        <v>51.75</v>
      </c>
      <c r="AI191">
        <v>0</v>
      </c>
      <c r="AJ191">
        <v>1.65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91</v>
      </c>
      <c r="AR191">
        <v>91</v>
      </c>
      <c r="AS191">
        <v>43.91</v>
      </c>
      <c r="AT191">
        <v>0</v>
      </c>
      <c r="AU191">
        <v>47.09</v>
      </c>
      <c r="AV191">
        <v>51.75</v>
      </c>
    </row>
    <row r="192" spans="1:48" hidden="1" x14ac:dyDescent="0.2">
      <c r="A192">
        <v>102</v>
      </c>
      <c r="B192" t="s">
        <v>192</v>
      </c>
      <c r="C192" t="s">
        <v>193</v>
      </c>
      <c r="D192" t="s">
        <v>194</v>
      </c>
      <c r="E192" t="s">
        <v>195</v>
      </c>
      <c r="F192">
        <v>194</v>
      </c>
      <c r="G192" t="s">
        <v>557</v>
      </c>
      <c r="H192" t="s">
        <v>68</v>
      </c>
      <c r="I192" t="s">
        <v>69</v>
      </c>
      <c r="J192" s="2" t="s">
        <v>558</v>
      </c>
      <c r="K192" t="s">
        <v>559</v>
      </c>
      <c r="L192" s="2" t="s">
        <v>86</v>
      </c>
      <c r="M192" s="1">
        <v>46000</v>
      </c>
      <c r="N192" s="1">
        <v>46029</v>
      </c>
      <c r="O192" s="1">
        <v>46022</v>
      </c>
      <c r="Q192">
        <v>0</v>
      </c>
      <c r="R192">
        <v>0</v>
      </c>
      <c r="S192">
        <v>0</v>
      </c>
      <c r="T192" s="2">
        <v>0</v>
      </c>
      <c r="U192" s="2">
        <v>0</v>
      </c>
      <c r="V192" s="2">
        <v>0</v>
      </c>
      <c r="W192" s="2">
        <v>1662.69</v>
      </c>
      <c r="X192">
        <v>9.6199999999999992</v>
      </c>
      <c r="Y192">
        <v>451.92</v>
      </c>
      <c r="Z192">
        <v>0</v>
      </c>
      <c r="AA192">
        <v>326.92</v>
      </c>
      <c r="AB192">
        <v>86.03</v>
      </c>
      <c r="AC192">
        <v>10.17</v>
      </c>
      <c r="AD192" s="2">
        <v>875.04</v>
      </c>
      <c r="AE192">
        <v>787.65</v>
      </c>
      <c r="AF192">
        <v>47.37</v>
      </c>
      <c r="AG192">
        <v>778.03</v>
      </c>
      <c r="AH192">
        <v>46.79</v>
      </c>
      <c r="AI192">
        <v>0</v>
      </c>
      <c r="AJ192">
        <v>15.13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1662.69</v>
      </c>
      <c r="AR192">
        <v>1662.69</v>
      </c>
      <c r="AS192">
        <v>875.04</v>
      </c>
      <c r="AT192">
        <v>0</v>
      </c>
      <c r="AU192">
        <v>787.65</v>
      </c>
      <c r="AV192">
        <v>47.37</v>
      </c>
    </row>
    <row r="193" spans="1:48" hidden="1" x14ac:dyDescent="0.2">
      <c r="A193">
        <v>102</v>
      </c>
      <c r="B193" t="s">
        <v>192</v>
      </c>
      <c r="C193" t="s">
        <v>193</v>
      </c>
      <c r="D193" t="s">
        <v>194</v>
      </c>
      <c r="E193" t="s">
        <v>195</v>
      </c>
      <c r="F193">
        <v>194</v>
      </c>
      <c r="G193" t="s">
        <v>557</v>
      </c>
      <c r="H193" t="s">
        <v>68</v>
      </c>
      <c r="I193" t="s">
        <v>69</v>
      </c>
      <c r="J193" s="2" t="s">
        <v>560</v>
      </c>
      <c r="K193" t="s">
        <v>561</v>
      </c>
      <c r="L193" s="2" t="s">
        <v>86</v>
      </c>
      <c r="M193" s="1">
        <v>46002</v>
      </c>
      <c r="N193" s="1">
        <v>46031</v>
      </c>
      <c r="O193" s="1">
        <v>46022</v>
      </c>
      <c r="Q193">
        <v>0</v>
      </c>
      <c r="R193">
        <v>0</v>
      </c>
      <c r="S193">
        <v>0</v>
      </c>
      <c r="T193" s="2">
        <v>0</v>
      </c>
      <c r="U193" s="2">
        <v>0</v>
      </c>
      <c r="V193" s="2">
        <v>0</v>
      </c>
      <c r="W193" s="2">
        <v>115.25</v>
      </c>
      <c r="X193">
        <v>0</v>
      </c>
      <c r="Y193">
        <v>22.59</v>
      </c>
      <c r="Z193">
        <v>0</v>
      </c>
      <c r="AA193">
        <v>23.63</v>
      </c>
      <c r="AB193">
        <v>23.98</v>
      </c>
      <c r="AC193">
        <v>2.52</v>
      </c>
      <c r="AD193" s="2">
        <v>72.72</v>
      </c>
      <c r="AE193">
        <v>42.53</v>
      </c>
      <c r="AF193">
        <v>36.9</v>
      </c>
      <c r="AG193">
        <v>42.53</v>
      </c>
      <c r="AH193">
        <v>36.9</v>
      </c>
      <c r="AI193">
        <v>0</v>
      </c>
      <c r="AJ193">
        <v>1.84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115.25</v>
      </c>
      <c r="AR193">
        <v>115.25</v>
      </c>
      <c r="AS193">
        <v>72.72</v>
      </c>
      <c r="AT193">
        <v>0</v>
      </c>
      <c r="AU193">
        <v>42.53</v>
      </c>
      <c r="AV193">
        <v>36.9</v>
      </c>
    </row>
    <row r="194" spans="1:48" hidden="1" x14ac:dyDescent="0.2">
      <c r="A194">
        <v>102</v>
      </c>
      <c r="B194" t="s">
        <v>192</v>
      </c>
      <c r="C194" t="s">
        <v>193</v>
      </c>
      <c r="D194" t="s">
        <v>194</v>
      </c>
      <c r="E194" t="s">
        <v>195</v>
      </c>
      <c r="F194">
        <v>194</v>
      </c>
      <c r="G194" t="s">
        <v>557</v>
      </c>
      <c r="H194" t="s">
        <v>68</v>
      </c>
      <c r="I194" t="s">
        <v>69</v>
      </c>
      <c r="J194" s="2" t="s">
        <v>562</v>
      </c>
      <c r="K194" t="s">
        <v>563</v>
      </c>
      <c r="L194" s="2" t="s">
        <v>86</v>
      </c>
      <c r="M194" s="1">
        <v>46004</v>
      </c>
      <c r="N194" s="1">
        <v>46009</v>
      </c>
      <c r="O194" s="1">
        <v>46022</v>
      </c>
      <c r="Q194">
        <v>0</v>
      </c>
      <c r="R194">
        <v>0</v>
      </c>
      <c r="S194">
        <v>0</v>
      </c>
      <c r="T194" s="2">
        <v>0</v>
      </c>
      <c r="U194" s="2">
        <v>0</v>
      </c>
      <c r="V194" s="2">
        <v>0</v>
      </c>
      <c r="W194" s="2">
        <v>182.06</v>
      </c>
      <c r="X194">
        <v>0</v>
      </c>
      <c r="Y194">
        <v>36.56</v>
      </c>
      <c r="Z194">
        <v>0</v>
      </c>
      <c r="AA194">
        <v>17.350000000000001</v>
      </c>
      <c r="AB194">
        <v>4.5999999999999996</v>
      </c>
      <c r="AC194">
        <v>0</v>
      </c>
      <c r="AD194" s="2">
        <v>58.51</v>
      </c>
      <c r="AE194">
        <v>123.55</v>
      </c>
      <c r="AF194">
        <v>67.86</v>
      </c>
      <c r="AG194">
        <v>123.55</v>
      </c>
      <c r="AH194">
        <v>67.86</v>
      </c>
      <c r="AI194">
        <v>0</v>
      </c>
      <c r="AJ194">
        <v>0.83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182.06</v>
      </c>
      <c r="AR194">
        <v>182.06</v>
      </c>
      <c r="AS194">
        <v>58.51</v>
      </c>
      <c r="AT194">
        <v>0</v>
      </c>
      <c r="AU194">
        <v>123.55</v>
      </c>
      <c r="AV194">
        <v>67.86</v>
      </c>
    </row>
    <row r="195" spans="1:48" hidden="1" x14ac:dyDescent="0.2">
      <c r="A195">
        <v>102</v>
      </c>
      <c r="B195" t="s">
        <v>192</v>
      </c>
      <c r="C195" t="s">
        <v>193</v>
      </c>
      <c r="D195" t="s">
        <v>194</v>
      </c>
      <c r="E195" t="s">
        <v>195</v>
      </c>
      <c r="F195">
        <v>196</v>
      </c>
      <c r="G195" t="s">
        <v>564</v>
      </c>
      <c r="H195" t="s">
        <v>68</v>
      </c>
      <c r="I195" t="s">
        <v>69</v>
      </c>
      <c r="J195" s="2" t="s">
        <v>565</v>
      </c>
      <c r="K195" t="s">
        <v>566</v>
      </c>
      <c r="L195" s="2" t="s">
        <v>86</v>
      </c>
      <c r="M195" s="1">
        <v>45994</v>
      </c>
      <c r="N195" s="1">
        <v>46031</v>
      </c>
      <c r="O195" s="1">
        <v>46022</v>
      </c>
      <c r="Q195">
        <v>0</v>
      </c>
      <c r="R195">
        <v>0</v>
      </c>
      <c r="S195">
        <v>0</v>
      </c>
      <c r="T195" s="2">
        <v>0</v>
      </c>
      <c r="U195" s="2">
        <v>0</v>
      </c>
      <c r="V195" s="2">
        <v>0</v>
      </c>
      <c r="W195" s="2">
        <v>108</v>
      </c>
      <c r="X195">
        <v>0</v>
      </c>
      <c r="Y195">
        <v>0</v>
      </c>
      <c r="Z195">
        <v>0</v>
      </c>
      <c r="AA195">
        <v>37.380000000000003</v>
      </c>
      <c r="AB195">
        <v>47.53</v>
      </c>
      <c r="AC195">
        <v>6.24</v>
      </c>
      <c r="AD195" s="2">
        <v>91.15</v>
      </c>
      <c r="AE195">
        <v>16.850000000000001</v>
      </c>
      <c r="AF195">
        <v>15.6</v>
      </c>
      <c r="AG195">
        <v>16.850000000000001</v>
      </c>
      <c r="AH195">
        <v>15.6</v>
      </c>
      <c r="AI195">
        <v>0</v>
      </c>
      <c r="AJ195">
        <v>3.13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108</v>
      </c>
      <c r="AR195">
        <v>108</v>
      </c>
      <c r="AS195">
        <v>91.15</v>
      </c>
      <c r="AT195">
        <v>0</v>
      </c>
      <c r="AU195">
        <v>16.850000000000001</v>
      </c>
      <c r="AV195">
        <v>15.6</v>
      </c>
    </row>
    <row r="196" spans="1:48" hidden="1" x14ac:dyDescent="0.2">
      <c r="A196">
        <v>102</v>
      </c>
      <c r="B196" t="s">
        <v>192</v>
      </c>
      <c r="C196" t="s">
        <v>193</v>
      </c>
      <c r="D196" t="s">
        <v>194</v>
      </c>
      <c r="E196" t="s">
        <v>195</v>
      </c>
      <c r="F196">
        <v>198</v>
      </c>
      <c r="G196" t="s">
        <v>567</v>
      </c>
      <c r="H196" t="s">
        <v>68</v>
      </c>
      <c r="I196" t="s">
        <v>69</v>
      </c>
      <c r="J196" s="2" t="s">
        <v>568</v>
      </c>
      <c r="K196" t="s">
        <v>569</v>
      </c>
      <c r="L196" s="2" t="s">
        <v>86</v>
      </c>
      <c r="M196" s="1">
        <v>46013</v>
      </c>
      <c r="N196" s="1">
        <v>46031</v>
      </c>
      <c r="O196" s="1">
        <v>46022</v>
      </c>
      <c r="Q196">
        <v>0</v>
      </c>
      <c r="R196">
        <v>0</v>
      </c>
      <c r="S196">
        <v>0</v>
      </c>
      <c r="T196" s="2">
        <v>0</v>
      </c>
      <c r="U196" s="2">
        <v>0</v>
      </c>
      <c r="V196" s="2">
        <v>0</v>
      </c>
      <c r="W196" s="2">
        <v>159</v>
      </c>
      <c r="X196">
        <v>0</v>
      </c>
      <c r="Y196">
        <v>0</v>
      </c>
      <c r="Z196">
        <v>0</v>
      </c>
      <c r="AA196">
        <v>79.3</v>
      </c>
      <c r="AB196">
        <v>26.28</v>
      </c>
      <c r="AC196">
        <v>3.99</v>
      </c>
      <c r="AD196" s="2">
        <v>109.57</v>
      </c>
      <c r="AE196">
        <v>49.43</v>
      </c>
      <c r="AF196">
        <v>31.09</v>
      </c>
      <c r="AG196">
        <v>49.43</v>
      </c>
      <c r="AH196">
        <v>31.09</v>
      </c>
      <c r="AI196">
        <v>0</v>
      </c>
      <c r="AJ196">
        <v>3.97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159</v>
      </c>
      <c r="AR196">
        <v>159</v>
      </c>
      <c r="AS196">
        <v>109.57</v>
      </c>
      <c r="AT196">
        <v>0</v>
      </c>
      <c r="AU196">
        <v>49.43</v>
      </c>
      <c r="AV196">
        <v>31.09</v>
      </c>
    </row>
    <row r="197" spans="1:48" hidden="1" x14ac:dyDescent="0.2">
      <c r="A197">
        <v>102</v>
      </c>
      <c r="B197" t="s">
        <v>192</v>
      </c>
      <c r="C197" t="s">
        <v>193</v>
      </c>
      <c r="D197" t="s">
        <v>194</v>
      </c>
      <c r="E197" t="s">
        <v>195</v>
      </c>
      <c r="F197">
        <v>531</v>
      </c>
      <c r="G197" t="s">
        <v>570</v>
      </c>
      <c r="H197" t="s">
        <v>68</v>
      </c>
      <c r="I197" t="s">
        <v>69</v>
      </c>
      <c r="J197" s="2" t="s">
        <v>571</v>
      </c>
      <c r="K197" t="s">
        <v>572</v>
      </c>
      <c r="L197" s="2" t="s">
        <v>86</v>
      </c>
      <c r="M197" s="1">
        <v>46013</v>
      </c>
      <c r="N197" s="1">
        <v>46041</v>
      </c>
      <c r="O197" s="1">
        <v>46022</v>
      </c>
      <c r="Q197">
        <v>0</v>
      </c>
      <c r="R197">
        <v>0</v>
      </c>
      <c r="S197">
        <v>0</v>
      </c>
      <c r="T197" s="2">
        <v>0</v>
      </c>
      <c r="U197" s="2">
        <v>0</v>
      </c>
      <c r="V197" s="2">
        <v>0</v>
      </c>
      <c r="W197" s="2">
        <v>730.25</v>
      </c>
      <c r="X197">
        <v>0</v>
      </c>
      <c r="Y197">
        <v>536.20000000000005</v>
      </c>
      <c r="Z197">
        <v>0</v>
      </c>
      <c r="AA197">
        <v>0</v>
      </c>
      <c r="AB197">
        <v>0</v>
      </c>
      <c r="AC197">
        <v>0</v>
      </c>
      <c r="AD197" s="2">
        <v>536.20000000000005</v>
      </c>
      <c r="AE197">
        <v>194.05</v>
      </c>
      <c r="AF197">
        <v>26.57</v>
      </c>
      <c r="AG197">
        <v>194.05</v>
      </c>
      <c r="AH197">
        <v>26.57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730.25</v>
      </c>
      <c r="AR197">
        <v>730.25</v>
      </c>
      <c r="AS197">
        <v>536.20000000000005</v>
      </c>
      <c r="AT197">
        <v>0</v>
      </c>
      <c r="AU197">
        <v>194.05</v>
      </c>
      <c r="AV197">
        <v>26.57</v>
      </c>
    </row>
    <row r="198" spans="1:48" x14ac:dyDescent="0.2">
      <c r="A198">
        <v>102</v>
      </c>
      <c r="B198" t="s">
        <v>192</v>
      </c>
      <c r="C198" t="s">
        <v>193</v>
      </c>
      <c r="D198" t="s">
        <v>194</v>
      </c>
      <c r="E198" t="s">
        <v>195</v>
      </c>
      <c r="F198" t="s">
        <v>573</v>
      </c>
      <c r="G198" s="3" t="s">
        <v>195</v>
      </c>
      <c r="H198" t="s">
        <v>51</v>
      </c>
      <c r="I198" t="s">
        <v>52</v>
      </c>
      <c r="J198" s="2" t="s">
        <v>574</v>
      </c>
      <c r="K198" t="s">
        <v>575</v>
      </c>
      <c r="L198" s="2" t="s">
        <v>63</v>
      </c>
      <c r="M198" s="1">
        <v>46022</v>
      </c>
      <c r="N198" t="s">
        <v>64</v>
      </c>
      <c r="O198" s="1">
        <v>46022</v>
      </c>
      <c r="Q198">
        <v>86940</v>
      </c>
      <c r="R198">
        <v>48240</v>
      </c>
      <c r="S198">
        <v>0</v>
      </c>
      <c r="T198" s="2">
        <v>0</v>
      </c>
      <c r="U198" s="2">
        <v>0</v>
      </c>
      <c r="V198" s="2">
        <v>0</v>
      </c>
      <c r="W198" s="2">
        <v>86940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 s="2">
        <v>0</v>
      </c>
      <c r="AE198">
        <v>86940</v>
      </c>
      <c r="AF198">
        <v>100</v>
      </c>
      <c r="AG198">
        <v>86940</v>
      </c>
      <c r="AH198">
        <v>100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20940</v>
      </c>
      <c r="AR198">
        <v>86940</v>
      </c>
      <c r="AS198">
        <v>0</v>
      </c>
      <c r="AT198">
        <v>0</v>
      </c>
      <c r="AU198">
        <v>86940</v>
      </c>
      <c r="AV198">
        <v>100</v>
      </c>
    </row>
    <row r="199" spans="1:48" hidden="1" x14ac:dyDescent="0.2">
      <c r="A199">
        <v>102</v>
      </c>
      <c r="B199" t="s">
        <v>192</v>
      </c>
      <c r="C199" t="s">
        <v>193</v>
      </c>
      <c r="D199" t="s">
        <v>194</v>
      </c>
      <c r="E199" t="s">
        <v>195</v>
      </c>
      <c r="F199" t="s">
        <v>573</v>
      </c>
      <c r="G199" t="s">
        <v>195</v>
      </c>
      <c r="H199" t="s">
        <v>68</v>
      </c>
      <c r="I199" t="s">
        <v>69</v>
      </c>
      <c r="J199" s="2" t="s">
        <v>576</v>
      </c>
      <c r="K199" t="s">
        <v>577</v>
      </c>
      <c r="L199" s="2" t="s">
        <v>86</v>
      </c>
      <c r="M199" s="1">
        <v>46027</v>
      </c>
      <c r="N199" s="1">
        <v>46035</v>
      </c>
      <c r="O199" t="s">
        <v>64</v>
      </c>
      <c r="Q199">
        <v>0</v>
      </c>
      <c r="R199">
        <v>0</v>
      </c>
      <c r="S199">
        <v>0</v>
      </c>
      <c r="T199" s="2">
        <v>0</v>
      </c>
      <c r="U199" s="2">
        <v>0</v>
      </c>
      <c r="V199" s="2">
        <v>0</v>
      </c>
      <c r="W199" s="2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 s="2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</row>
    <row r="200" spans="1:48" hidden="1" x14ac:dyDescent="0.2">
      <c r="A200">
        <v>102</v>
      </c>
      <c r="B200" t="s">
        <v>192</v>
      </c>
      <c r="C200" t="s">
        <v>193</v>
      </c>
      <c r="D200" t="s">
        <v>194</v>
      </c>
      <c r="E200" t="s">
        <v>195</v>
      </c>
      <c r="F200" t="s">
        <v>573</v>
      </c>
      <c r="G200" t="s">
        <v>195</v>
      </c>
      <c r="H200" t="s">
        <v>68</v>
      </c>
      <c r="I200" t="s">
        <v>69</v>
      </c>
      <c r="J200" s="2" t="s">
        <v>578</v>
      </c>
      <c r="K200" t="s">
        <v>579</v>
      </c>
      <c r="L200" s="2" t="s">
        <v>86</v>
      </c>
      <c r="M200" s="1">
        <v>45982</v>
      </c>
      <c r="N200" s="1">
        <v>45995</v>
      </c>
      <c r="O200" s="1">
        <v>45991</v>
      </c>
      <c r="Q200">
        <v>0</v>
      </c>
      <c r="R200">
        <v>0</v>
      </c>
      <c r="S200">
        <v>0</v>
      </c>
      <c r="T200" s="2">
        <v>0</v>
      </c>
      <c r="U200" s="2">
        <v>0</v>
      </c>
      <c r="V200" s="2">
        <v>0</v>
      </c>
      <c r="W200" s="2">
        <v>0</v>
      </c>
      <c r="X200">
        <v>0</v>
      </c>
      <c r="Y200">
        <v>0</v>
      </c>
      <c r="Z200">
        <v>1500</v>
      </c>
      <c r="AA200">
        <v>0</v>
      </c>
      <c r="AB200">
        <v>0</v>
      </c>
      <c r="AC200">
        <v>0</v>
      </c>
      <c r="AD200" s="2">
        <v>1500</v>
      </c>
      <c r="AE200">
        <v>-1500</v>
      </c>
      <c r="AF200">
        <v>0</v>
      </c>
      <c r="AG200">
        <v>-1500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1891</v>
      </c>
      <c r="AS200">
        <v>2645.31</v>
      </c>
      <c r="AT200">
        <v>0</v>
      </c>
      <c r="AU200">
        <v>-754.31</v>
      </c>
      <c r="AV200">
        <v>-39.89</v>
      </c>
    </row>
    <row r="201" spans="1:48" hidden="1" x14ac:dyDescent="0.2">
      <c r="A201">
        <v>102</v>
      </c>
      <c r="B201" t="s">
        <v>192</v>
      </c>
      <c r="C201" t="s">
        <v>193</v>
      </c>
      <c r="D201" t="s">
        <v>194</v>
      </c>
      <c r="E201" t="s">
        <v>195</v>
      </c>
      <c r="F201" t="s">
        <v>573</v>
      </c>
      <c r="G201" t="s">
        <v>195</v>
      </c>
      <c r="H201" t="s">
        <v>68</v>
      </c>
      <c r="I201" t="s">
        <v>69</v>
      </c>
      <c r="J201" s="2" t="s">
        <v>580</v>
      </c>
      <c r="K201" t="s">
        <v>581</v>
      </c>
      <c r="L201" s="2" t="s">
        <v>86</v>
      </c>
      <c r="M201" s="1">
        <v>46000</v>
      </c>
      <c r="N201" s="1">
        <v>46034</v>
      </c>
      <c r="O201" s="1">
        <v>46022</v>
      </c>
      <c r="Q201">
        <v>0</v>
      </c>
      <c r="R201">
        <v>0</v>
      </c>
      <c r="S201">
        <v>0</v>
      </c>
      <c r="T201" s="2">
        <v>0</v>
      </c>
      <c r="U201" s="2">
        <v>0</v>
      </c>
      <c r="V201" s="2">
        <v>0</v>
      </c>
      <c r="W201" s="2">
        <v>897</v>
      </c>
      <c r="X201">
        <v>6.24</v>
      </c>
      <c r="Y201">
        <v>0</v>
      </c>
      <c r="Z201">
        <v>249.27</v>
      </c>
      <c r="AA201">
        <v>221.84</v>
      </c>
      <c r="AB201">
        <v>51.07</v>
      </c>
      <c r="AC201">
        <v>8.0399999999999991</v>
      </c>
      <c r="AD201" s="2">
        <v>530.22</v>
      </c>
      <c r="AE201">
        <v>366.78</v>
      </c>
      <c r="AF201">
        <v>40.89</v>
      </c>
      <c r="AG201">
        <v>360.54</v>
      </c>
      <c r="AH201">
        <v>40.19</v>
      </c>
      <c r="AI201">
        <v>0</v>
      </c>
      <c r="AJ201">
        <v>10.83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897</v>
      </c>
      <c r="AR201">
        <v>897</v>
      </c>
      <c r="AS201">
        <v>530.22</v>
      </c>
      <c r="AT201">
        <v>0</v>
      </c>
      <c r="AU201">
        <v>366.78</v>
      </c>
      <c r="AV201">
        <v>40.89</v>
      </c>
    </row>
    <row r="202" spans="1:48" hidden="1" x14ac:dyDescent="0.2">
      <c r="A202">
        <v>102</v>
      </c>
      <c r="B202" t="s">
        <v>582</v>
      </c>
      <c r="C202" t="s">
        <v>583</v>
      </c>
      <c r="D202" t="s">
        <v>584</v>
      </c>
      <c r="E202" t="s">
        <v>585</v>
      </c>
      <c r="F202">
        <v>6020</v>
      </c>
      <c r="G202" t="s">
        <v>586</v>
      </c>
      <c r="H202" t="s">
        <v>137</v>
      </c>
      <c r="I202" t="s">
        <v>60</v>
      </c>
      <c r="J202" s="2" t="s">
        <v>587</v>
      </c>
      <c r="K202" t="s">
        <v>588</v>
      </c>
      <c r="L202" s="2" t="s">
        <v>63</v>
      </c>
      <c r="M202" s="1">
        <v>45108</v>
      </c>
      <c r="N202" t="s">
        <v>64</v>
      </c>
      <c r="O202" s="1">
        <v>46024</v>
      </c>
      <c r="P202" t="s">
        <v>65</v>
      </c>
      <c r="Q202">
        <v>63270.720000000001</v>
      </c>
      <c r="R202">
        <v>12248.64</v>
      </c>
      <c r="S202">
        <v>0</v>
      </c>
      <c r="T202" s="2">
        <v>0</v>
      </c>
      <c r="U202" s="2">
        <v>0</v>
      </c>
      <c r="V202" s="2">
        <v>0</v>
      </c>
      <c r="W202" s="2">
        <v>1723.62</v>
      </c>
      <c r="X202">
        <v>0</v>
      </c>
      <c r="Y202">
        <v>39.090000000000003</v>
      </c>
      <c r="Z202">
        <v>0</v>
      </c>
      <c r="AA202">
        <v>95.26</v>
      </c>
      <c r="AB202">
        <v>246.13</v>
      </c>
      <c r="AC202">
        <v>13.49</v>
      </c>
      <c r="AD202" s="2">
        <v>393.97</v>
      </c>
      <c r="AE202">
        <v>1329.65</v>
      </c>
      <c r="AF202">
        <v>77.14</v>
      </c>
      <c r="AG202">
        <v>1329.65</v>
      </c>
      <c r="AH202">
        <v>77.14</v>
      </c>
      <c r="AI202">
        <v>0</v>
      </c>
      <c r="AJ202">
        <v>10.28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1723.62</v>
      </c>
      <c r="AR202">
        <v>46708.17</v>
      </c>
      <c r="AS202">
        <v>25360.49</v>
      </c>
      <c r="AT202">
        <v>0</v>
      </c>
      <c r="AU202">
        <v>21347.68</v>
      </c>
      <c r="AV202">
        <v>45.7</v>
      </c>
    </row>
    <row r="203" spans="1:48" hidden="1" x14ac:dyDescent="0.2">
      <c r="A203">
        <v>102</v>
      </c>
      <c r="B203" t="s">
        <v>582</v>
      </c>
      <c r="C203" t="s">
        <v>583</v>
      </c>
      <c r="D203" t="s">
        <v>584</v>
      </c>
      <c r="E203" t="s">
        <v>585</v>
      </c>
      <c r="F203">
        <v>6020</v>
      </c>
      <c r="G203" t="s">
        <v>586</v>
      </c>
      <c r="H203" t="s">
        <v>68</v>
      </c>
      <c r="I203" t="s">
        <v>122</v>
      </c>
      <c r="J203" s="2" t="s">
        <v>589</v>
      </c>
      <c r="K203" t="s">
        <v>590</v>
      </c>
      <c r="L203" s="2" t="s">
        <v>86</v>
      </c>
      <c r="M203" s="1">
        <v>45988</v>
      </c>
      <c r="N203" s="1">
        <v>46013</v>
      </c>
      <c r="O203" s="1">
        <v>46013</v>
      </c>
      <c r="Q203">
        <v>949.52</v>
      </c>
      <c r="R203">
        <v>1238.52</v>
      </c>
      <c r="S203">
        <v>0</v>
      </c>
      <c r="T203" s="2">
        <v>0</v>
      </c>
      <c r="U203" s="2">
        <v>0</v>
      </c>
      <c r="V203" s="2">
        <v>0</v>
      </c>
      <c r="W203" s="2">
        <v>949.52</v>
      </c>
      <c r="X203">
        <v>0</v>
      </c>
      <c r="Y203">
        <v>741.58</v>
      </c>
      <c r="Z203">
        <v>0</v>
      </c>
      <c r="AA203">
        <v>301.51</v>
      </c>
      <c r="AB203">
        <v>267.47000000000003</v>
      </c>
      <c r="AC203">
        <v>28</v>
      </c>
      <c r="AD203" s="2">
        <v>1338.56</v>
      </c>
      <c r="AE203">
        <v>-389.04</v>
      </c>
      <c r="AF203">
        <v>-40.97</v>
      </c>
      <c r="AG203">
        <v>-389.04</v>
      </c>
      <c r="AH203">
        <v>-40.97</v>
      </c>
      <c r="AI203">
        <v>0</v>
      </c>
      <c r="AJ203">
        <v>19.760000000000002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949.52</v>
      </c>
      <c r="AR203">
        <v>949.52</v>
      </c>
      <c r="AS203">
        <v>1338.56</v>
      </c>
      <c r="AT203">
        <v>0</v>
      </c>
      <c r="AU203">
        <v>-389.04</v>
      </c>
      <c r="AV203">
        <v>-40.97</v>
      </c>
    </row>
    <row r="204" spans="1:48" hidden="1" x14ac:dyDescent="0.2">
      <c r="A204">
        <v>102</v>
      </c>
      <c r="B204" t="s">
        <v>582</v>
      </c>
      <c r="C204" t="s">
        <v>583</v>
      </c>
      <c r="D204" t="s">
        <v>584</v>
      </c>
      <c r="E204" t="s">
        <v>585</v>
      </c>
      <c r="F204">
        <v>6020</v>
      </c>
      <c r="G204" t="s">
        <v>586</v>
      </c>
      <c r="H204" t="s">
        <v>68</v>
      </c>
      <c r="I204" t="s">
        <v>69</v>
      </c>
      <c r="J204" s="2" t="s">
        <v>591</v>
      </c>
      <c r="K204" t="s">
        <v>592</v>
      </c>
      <c r="L204" s="2" t="s">
        <v>55</v>
      </c>
      <c r="M204" s="1">
        <v>45822</v>
      </c>
      <c r="N204" s="1">
        <v>46027</v>
      </c>
      <c r="O204" t="s">
        <v>64</v>
      </c>
      <c r="Q204">
        <v>0</v>
      </c>
      <c r="R204">
        <v>0</v>
      </c>
      <c r="S204">
        <v>0</v>
      </c>
      <c r="T204" s="2">
        <v>264.95</v>
      </c>
      <c r="U204" s="2">
        <v>0</v>
      </c>
      <c r="V204" s="2">
        <v>0</v>
      </c>
      <c r="W204" s="2">
        <v>0</v>
      </c>
      <c r="X204">
        <v>0</v>
      </c>
      <c r="Y204">
        <v>107.97</v>
      </c>
      <c r="Z204">
        <v>0</v>
      </c>
      <c r="AA204">
        <v>4.13</v>
      </c>
      <c r="AB204">
        <v>0</v>
      </c>
      <c r="AC204">
        <v>0</v>
      </c>
      <c r="AD204" s="2">
        <v>112.1</v>
      </c>
      <c r="AE204">
        <v>-112.1</v>
      </c>
      <c r="AF204">
        <v>0</v>
      </c>
      <c r="AG204">
        <v>152.85</v>
      </c>
      <c r="AH204">
        <v>57.69</v>
      </c>
      <c r="AI204">
        <v>0</v>
      </c>
      <c r="AJ204">
        <v>0.17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119.75</v>
      </c>
      <c r="AT204">
        <v>0</v>
      </c>
      <c r="AU204">
        <v>-119.75</v>
      </c>
      <c r="AV204">
        <v>0</v>
      </c>
    </row>
    <row r="205" spans="1:48" hidden="1" x14ac:dyDescent="0.2">
      <c r="A205">
        <v>102</v>
      </c>
      <c r="B205" t="s">
        <v>582</v>
      </c>
      <c r="C205" t="s">
        <v>583</v>
      </c>
      <c r="D205" t="s">
        <v>584</v>
      </c>
      <c r="E205" t="s">
        <v>585</v>
      </c>
      <c r="F205">
        <v>6020</v>
      </c>
      <c r="G205" t="s">
        <v>586</v>
      </c>
      <c r="H205" t="s">
        <v>68</v>
      </c>
      <c r="I205" t="s">
        <v>69</v>
      </c>
      <c r="J205" s="2" t="s">
        <v>593</v>
      </c>
      <c r="K205" t="s">
        <v>594</v>
      </c>
      <c r="L205" s="2" t="s">
        <v>86</v>
      </c>
      <c r="M205" s="1">
        <v>45951</v>
      </c>
      <c r="N205" s="1">
        <v>45994</v>
      </c>
      <c r="O205" s="1">
        <v>46006</v>
      </c>
      <c r="Q205">
        <v>0</v>
      </c>
      <c r="R205">
        <v>0</v>
      </c>
      <c r="S205">
        <v>0</v>
      </c>
      <c r="T205" s="2">
        <v>0</v>
      </c>
      <c r="U205" s="2">
        <v>0</v>
      </c>
      <c r="V205" s="2">
        <v>0</v>
      </c>
      <c r="W205" s="2">
        <v>128.29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 s="2">
        <v>0</v>
      </c>
      <c r="AE205">
        <v>128.29</v>
      </c>
      <c r="AF205">
        <v>100</v>
      </c>
      <c r="AG205">
        <v>128.29</v>
      </c>
      <c r="AH205">
        <v>100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128.29</v>
      </c>
      <c r="AR205">
        <v>128.29</v>
      </c>
      <c r="AS205">
        <v>44.98</v>
      </c>
      <c r="AT205">
        <v>0</v>
      </c>
      <c r="AU205">
        <v>83.31</v>
      </c>
      <c r="AV205">
        <v>64.94</v>
      </c>
    </row>
    <row r="206" spans="1:48" hidden="1" x14ac:dyDescent="0.2">
      <c r="A206">
        <v>102</v>
      </c>
      <c r="B206" t="s">
        <v>582</v>
      </c>
      <c r="C206" t="s">
        <v>583</v>
      </c>
      <c r="D206" t="s">
        <v>584</v>
      </c>
      <c r="E206" t="s">
        <v>585</v>
      </c>
      <c r="F206">
        <v>6020</v>
      </c>
      <c r="G206" t="s">
        <v>586</v>
      </c>
      <c r="H206" t="s">
        <v>68</v>
      </c>
      <c r="I206" t="s">
        <v>69</v>
      </c>
      <c r="J206" s="2" t="s">
        <v>595</v>
      </c>
      <c r="K206" t="s">
        <v>596</v>
      </c>
      <c r="L206" s="2" t="s">
        <v>86</v>
      </c>
      <c r="M206" s="1">
        <v>45961</v>
      </c>
      <c r="N206" s="1">
        <v>45994</v>
      </c>
      <c r="O206" s="1">
        <v>46006</v>
      </c>
      <c r="Q206">
        <v>0</v>
      </c>
      <c r="R206">
        <v>0</v>
      </c>
      <c r="S206">
        <v>0</v>
      </c>
      <c r="T206" s="2">
        <v>0</v>
      </c>
      <c r="U206" s="2">
        <v>0</v>
      </c>
      <c r="V206" s="2">
        <v>0</v>
      </c>
      <c r="W206" s="2">
        <v>629.27</v>
      </c>
      <c r="X206">
        <v>0</v>
      </c>
      <c r="Y206">
        <v>0.4</v>
      </c>
      <c r="Z206">
        <v>0</v>
      </c>
      <c r="AA206">
        <v>0</v>
      </c>
      <c r="AB206">
        <v>0</v>
      </c>
      <c r="AC206">
        <v>0</v>
      </c>
      <c r="AD206" s="2">
        <v>0.4</v>
      </c>
      <c r="AE206">
        <v>628.87</v>
      </c>
      <c r="AF206">
        <v>99.94</v>
      </c>
      <c r="AG206">
        <v>628.87</v>
      </c>
      <c r="AH206">
        <v>99.94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629.27</v>
      </c>
      <c r="AR206">
        <v>629.27</v>
      </c>
      <c r="AS206">
        <v>228.34</v>
      </c>
      <c r="AT206">
        <v>0</v>
      </c>
      <c r="AU206">
        <v>400.93</v>
      </c>
      <c r="AV206">
        <v>63.71</v>
      </c>
    </row>
    <row r="207" spans="1:48" hidden="1" x14ac:dyDescent="0.2">
      <c r="A207">
        <v>102</v>
      </c>
      <c r="B207" t="s">
        <v>582</v>
      </c>
      <c r="C207" t="s">
        <v>583</v>
      </c>
      <c r="D207" t="s">
        <v>584</v>
      </c>
      <c r="E207" t="s">
        <v>585</v>
      </c>
      <c r="F207">
        <v>6020</v>
      </c>
      <c r="G207" t="s">
        <v>586</v>
      </c>
      <c r="H207" t="s">
        <v>68</v>
      </c>
      <c r="I207" t="s">
        <v>69</v>
      </c>
      <c r="J207" s="2" t="s">
        <v>597</v>
      </c>
      <c r="K207" t="e">
        <f ca="1">- Cristal superior de vitrina de carne Exkal (matrícula ilegible)</f>
        <v>#NAME?</v>
      </c>
      <c r="L207" s="2" t="s">
        <v>63</v>
      </c>
      <c r="M207" s="1">
        <v>45996</v>
      </c>
      <c r="N207" t="s">
        <v>64</v>
      </c>
      <c r="O207" t="s">
        <v>64</v>
      </c>
      <c r="Q207">
        <v>0</v>
      </c>
      <c r="R207">
        <v>0</v>
      </c>
      <c r="S207">
        <v>0</v>
      </c>
      <c r="T207" s="2">
        <v>36.15</v>
      </c>
      <c r="U207" s="2">
        <v>0</v>
      </c>
      <c r="V207" s="2">
        <v>0</v>
      </c>
      <c r="W207" s="2">
        <v>0</v>
      </c>
      <c r="X207">
        <v>0</v>
      </c>
      <c r="Y207">
        <v>0</v>
      </c>
      <c r="Z207">
        <v>0</v>
      </c>
      <c r="AA207">
        <v>5.37</v>
      </c>
      <c r="AB207">
        <v>0</v>
      </c>
      <c r="AC207">
        <v>0</v>
      </c>
      <c r="AD207" s="2">
        <v>5.37</v>
      </c>
      <c r="AE207">
        <v>-5.37</v>
      </c>
      <c r="AF207">
        <v>0</v>
      </c>
      <c r="AG207">
        <v>30.78</v>
      </c>
      <c r="AH207">
        <v>85.15</v>
      </c>
      <c r="AI207">
        <v>0</v>
      </c>
      <c r="AJ207">
        <v>0.22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5.37</v>
      </c>
      <c r="AT207">
        <v>0</v>
      </c>
      <c r="AU207">
        <v>-5.37</v>
      </c>
      <c r="AV207">
        <v>0</v>
      </c>
    </row>
    <row r="208" spans="1:48" hidden="1" x14ac:dyDescent="0.2">
      <c r="A208">
        <v>102</v>
      </c>
      <c r="B208" t="s">
        <v>582</v>
      </c>
      <c r="C208" t="s">
        <v>583</v>
      </c>
      <c r="D208" t="s">
        <v>584</v>
      </c>
      <c r="E208" t="s">
        <v>585</v>
      </c>
      <c r="F208">
        <v>6020</v>
      </c>
      <c r="G208" t="s">
        <v>586</v>
      </c>
      <c r="H208" t="s">
        <v>68</v>
      </c>
      <c r="I208" t="s">
        <v>69</v>
      </c>
      <c r="J208" s="2" t="s">
        <v>598</v>
      </c>
      <c r="K208" t="s">
        <v>599</v>
      </c>
      <c r="L208" s="2" t="s">
        <v>63</v>
      </c>
      <c r="M208" s="1">
        <v>45996</v>
      </c>
      <c r="N208" t="s">
        <v>64</v>
      </c>
      <c r="O208" t="s">
        <v>64</v>
      </c>
      <c r="Q208">
        <v>0</v>
      </c>
      <c r="R208">
        <v>0</v>
      </c>
      <c r="S208">
        <v>0</v>
      </c>
      <c r="T208" s="2">
        <v>72.290000000000006</v>
      </c>
      <c r="U208" s="2">
        <v>0</v>
      </c>
      <c r="V208" s="2">
        <v>0</v>
      </c>
      <c r="W208" s="2">
        <v>0</v>
      </c>
      <c r="X208">
        <v>0</v>
      </c>
      <c r="Y208">
        <v>0</v>
      </c>
      <c r="Z208">
        <v>0</v>
      </c>
      <c r="AA208">
        <v>24.78</v>
      </c>
      <c r="AB208">
        <v>4.16</v>
      </c>
      <c r="AC208">
        <v>0</v>
      </c>
      <c r="AD208" s="2">
        <v>28.94</v>
      </c>
      <c r="AE208">
        <v>-28.94</v>
      </c>
      <c r="AF208">
        <v>0</v>
      </c>
      <c r="AG208">
        <v>43.35</v>
      </c>
      <c r="AH208">
        <v>59.97</v>
      </c>
      <c r="AI208">
        <v>0</v>
      </c>
      <c r="AJ208">
        <v>1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28.94</v>
      </c>
      <c r="AT208">
        <v>0</v>
      </c>
      <c r="AU208">
        <v>-28.94</v>
      </c>
      <c r="AV208">
        <v>0</v>
      </c>
    </row>
    <row r="209" spans="1:48" hidden="1" x14ac:dyDescent="0.2">
      <c r="A209">
        <v>102</v>
      </c>
      <c r="B209" t="s">
        <v>582</v>
      </c>
      <c r="C209" t="s">
        <v>583</v>
      </c>
      <c r="D209" t="s">
        <v>584</v>
      </c>
      <c r="E209" t="s">
        <v>585</v>
      </c>
      <c r="F209">
        <v>7119</v>
      </c>
      <c r="G209" t="s">
        <v>600</v>
      </c>
      <c r="H209" t="s">
        <v>137</v>
      </c>
      <c r="I209" t="s">
        <v>60</v>
      </c>
      <c r="J209" s="2" t="s">
        <v>601</v>
      </c>
      <c r="K209" t="s">
        <v>602</v>
      </c>
      <c r="L209" s="2" t="s">
        <v>63</v>
      </c>
      <c r="M209" s="1">
        <v>45108</v>
      </c>
      <c r="N209" t="s">
        <v>64</v>
      </c>
      <c r="O209" s="1">
        <v>46024</v>
      </c>
      <c r="P209" t="s">
        <v>65</v>
      </c>
      <c r="Q209">
        <v>59080.800000000003</v>
      </c>
      <c r="R209">
        <v>9721.56</v>
      </c>
      <c r="S209">
        <v>0</v>
      </c>
      <c r="T209" s="2">
        <v>0</v>
      </c>
      <c r="U209" s="2">
        <v>0</v>
      </c>
      <c r="V209" s="2">
        <v>0</v>
      </c>
      <c r="W209" s="2">
        <v>1230.8499999999999</v>
      </c>
      <c r="X209">
        <v>0</v>
      </c>
      <c r="Y209">
        <v>0</v>
      </c>
      <c r="Z209">
        <v>0</v>
      </c>
      <c r="AA209">
        <v>185.43</v>
      </c>
      <c r="AB209">
        <v>34.58</v>
      </c>
      <c r="AC209">
        <v>0</v>
      </c>
      <c r="AD209" s="2">
        <v>220.01</v>
      </c>
      <c r="AE209">
        <v>1010.84</v>
      </c>
      <c r="AF209">
        <v>82.13</v>
      </c>
      <c r="AG209">
        <v>1010.84</v>
      </c>
      <c r="AH209">
        <v>82.13</v>
      </c>
      <c r="AI209">
        <v>0</v>
      </c>
      <c r="AJ209">
        <v>7.48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1230.8499999999999</v>
      </c>
      <c r="AR209">
        <v>46803.94</v>
      </c>
      <c r="AS209">
        <v>23646.639999999999</v>
      </c>
      <c r="AT209">
        <v>0</v>
      </c>
      <c r="AU209">
        <v>23157.3</v>
      </c>
      <c r="AV209">
        <v>49.48</v>
      </c>
    </row>
    <row r="210" spans="1:48" hidden="1" x14ac:dyDescent="0.2">
      <c r="A210">
        <v>102</v>
      </c>
      <c r="B210" t="s">
        <v>603</v>
      </c>
      <c r="C210" t="s">
        <v>604</v>
      </c>
      <c r="D210" t="s">
        <v>605</v>
      </c>
      <c r="E210" t="s">
        <v>606</v>
      </c>
      <c r="F210">
        <v>63</v>
      </c>
      <c r="G210" t="s">
        <v>607</v>
      </c>
      <c r="H210" t="s">
        <v>137</v>
      </c>
      <c r="I210" t="s">
        <v>60</v>
      </c>
      <c r="J210" s="2" t="s">
        <v>608</v>
      </c>
      <c r="K210" t="s">
        <v>609</v>
      </c>
      <c r="L210" s="2" t="s">
        <v>63</v>
      </c>
      <c r="M210" s="1">
        <v>45108</v>
      </c>
      <c r="N210" t="s">
        <v>64</v>
      </c>
      <c r="O210" s="1">
        <v>46024</v>
      </c>
      <c r="P210" t="s">
        <v>65</v>
      </c>
      <c r="Q210">
        <v>109173.6</v>
      </c>
      <c r="R210">
        <v>14306.28</v>
      </c>
      <c r="S210">
        <v>0</v>
      </c>
      <c r="T210" s="2">
        <v>0</v>
      </c>
      <c r="U210" s="2">
        <v>0</v>
      </c>
      <c r="V210" s="2">
        <v>0</v>
      </c>
      <c r="W210" s="2">
        <v>2274.4499999999998</v>
      </c>
      <c r="X210">
        <v>0</v>
      </c>
      <c r="Y210">
        <v>19006.47</v>
      </c>
      <c r="Z210">
        <v>0</v>
      </c>
      <c r="AA210">
        <v>1143.6400000000001</v>
      </c>
      <c r="AB210">
        <v>257.63</v>
      </c>
      <c r="AC210">
        <v>64.31</v>
      </c>
      <c r="AD210" s="2">
        <v>20472.05</v>
      </c>
      <c r="AE210">
        <v>-18197.599999999999</v>
      </c>
      <c r="AF210">
        <v>-800.09</v>
      </c>
      <c r="AG210">
        <v>-18197.599999999999</v>
      </c>
      <c r="AH210">
        <v>-800.09</v>
      </c>
      <c r="AI210">
        <v>0</v>
      </c>
      <c r="AJ210">
        <v>51.37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2274.4499999999998</v>
      </c>
      <c r="AR210">
        <v>67715.679999999993</v>
      </c>
      <c r="AS210">
        <v>181312.98</v>
      </c>
      <c r="AT210">
        <v>0</v>
      </c>
      <c r="AU210">
        <v>-113597.3</v>
      </c>
      <c r="AV210">
        <v>-167.76</v>
      </c>
    </row>
    <row r="211" spans="1:48" hidden="1" x14ac:dyDescent="0.2">
      <c r="A211">
        <v>102</v>
      </c>
      <c r="B211" t="s">
        <v>603</v>
      </c>
      <c r="C211" t="s">
        <v>604</v>
      </c>
      <c r="D211" t="s">
        <v>605</v>
      </c>
      <c r="E211" t="s">
        <v>606</v>
      </c>
      <c r="F211">
        <v>63</v>
      </c>
      <c r="G211" t="s">
        <v>607</v>
      </c>
      <c r="H211" t="s">
        <v>59</v>
      </c>
      <c r="I211" t="s">
        <v>60</v>
      </c>
      <c r="J211" s="2" t="s">
        <v>610</v>
      </c>
      <c r="K211" t="s">
        <v>611</v>
      </c>
      <c r="L211" s="2" t="s">
        <v>63</v>
      </c>
      <c r="M211" s="1">
        <v>45658</v>
      </c>
      <c r="N211" t="s">
        <v>64</v>
      </c>
      <c r="O211" s="1">
        <v>46024</v>
      </c>
      <c r="P211" t="s">
        <v>65</v>
      </c>
      <c r="Q211">
        <v>8262.9599999999991</v>
      </c>
      <c r="R211">
        <v>5553.88</v>
      </c>
      <c r="S211">
        <v>0</v>
      </c>
      <c r="T211" s="2">
        <v>0</v>
      </c>
      <c r="U211" s="2">
        <v>0</v>
      </c>
      <c r="V211" s="2">
        <v>0</v>
      </c>
      <c r="W211" s="2">
        <v>688.58</v>
      </c>
      <c r="X211">
        <v>0</v>
      </c>
      <c r="Y211">
        <v>0</v>
      </c>
      <c r="Z211">
        <v>0</v>
      </c>
      <c r="AA211">
        <v>429.94</v>
      </c>
      <c r="AB211">
        <v>343.2</v>
      </c>
      <c r="AC211">
        <v>16.23</v>
      </c>
      <c r="AD211" s="2">
        <v>789.37</v>
      </c>
      <c r="AE211">
        <v>-100.79</v>
      </c>
      <c r="AF211">
        <v>-14.64</v>
      </c>
      <c r="AG211">
        <v>-100.79</v>
      </c>
      <c r="AH211">
        <v>-14.64</v>
      </c>
      <c r="AI211">
        <v>0</v>
      </c>
      <c r="AJ211">
        <v>29.4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688.58</v>
      </c>
      <c r="AR211">
        <v>8861.73</v>
      </c>
      <c r="AS211">
        <v>5940.83</v>
      </c>
      <c r="AT211">
        <v>0</v>
      </c>
      <c r="AU211">
        <v>2920.9</v>
      </c>
      <c r="AV211">
        <v>32.96</v>
      </c>
    </row>
    <row r="212" spans="1:48" hidden="1" x14ac:dyDescent="0.2">
      <c r="A212">
        <v>102</v>
      </c>
      <c r="B212" t="s">
        <v>603</v>
      </c>
      <c r="C212" t="s">
        <v>604</v>
      </c>
      <c r="D212" t="s">
        <v>605</v>
      </c>
      <c r="E212" t="s">
        <v>606</v>
      </c>
      <c r="F212">
        <v>63</v>
      </c>
      <c r="G212" t="s">
        <v>607</v>
      </c>
      <c r="H212" t="s">
        <v>68</v>
      </c>
      <c r="I212" t="s">
        <v>122</v>
      </c>
      <c r="J212" s="2" t="s">
        <v>612</v>
      </c>
      <c r="K212" t="s">
        <v>613</v>
      </c>
      <c r="L212" s="2" t="s">
        <v>86</v>
      </c>
      <c r="M212" s="1">
        <v>45831</v>
      </c>
      <c r="N212" s="1">
        <v>46022</v>
      </c>
      <c r="O212" s="1">
        <v>46022</v>
      </c>
      <c r="Q212">
        <v>2474.2800000000002</v>
      </c>
      <c r="R212">
        <v>1233.0999999999999</v>
      </c>
      <c r="S212">
        <v>0</v>
      </c>
      <c r="T212" s="2">
        <v>0</v>
      </c>
      <c r="U212" s="2">
        <v>0</v>
      </c>
      <c r="V212" s="2">
        <v>0</v>
      </c>
      <c r="W212" s="2">
        <v>2474.2800000000002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 s="2">
        <v>0</v>
      </c>
      <c r="AE212">
        <v>2474.2800000000002</v>
      </c>
      <c r="AF212">
        <v>100</v>
      </c>
      <c r="AG212">
        <v>2474.2800000000002</v>
      </c>
      <c r="AH212">
        <v>100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2474.2800000000002</v>
      </c>
      <c r="AR212">
        <v>2474.2800000000002</v>
      </c>
      <c r="AS212">
        <v>1079.98</v>
      </c>
      <c r="AT212">
        <v>0</v>
      </c>
      <c r="AU212">
        <v>1394.3</v>
      </c>
      <c r="AV212">
        <v>56.35</v>
      </c>
    </row>
    <row r="213" spans="1:48" hidden="1" x14ac:dyDescent="0.2">
      <c r="A213">
        <v>102</v>
      </c>
      <c r="B213" t="s">
        <v>603</v>
      </c>
      <c r="C213" t="s">
        <v>604</v>
      </c>
      <c r="D213" t="s">
        <v>605</v>
      </c>
      <c r="E213" t="s">
        <v>606</v>
      </c>
      <c r="F213">
        <v>63</v>
      </c>
      <c r="G213" t="s">
        <v>607</v>
      </c>
      <c r="H213" t="s">
        <v>68</v>
      </c>
      <c r="I213" t="s">
        <v>69</v>
      </c>
      <c r="J213" s="2" t="s">
        <v>614</v>
      </c>
      <c r="K213" t="s">
        <v>615</v>
      </c>
      <c r="L213" s="2" t="s">
        <v>86</v>
      </c>
      <c r="M213" s="1">
        <v>45817</v>
      </c>
      <c r="N213" s="1">
        <v>45827</v>
      </c>
      <c r="O213" s="1">
        <v>46013</v>
      </c>
      <c r="Q213">
        <v>0</v>
      </c>
      <c r="R213">
        <v>0</v>
      </c>
      <c r="S213">
        <v>0</v>
      </c>
      <c r="T213" s="2">
        <v>0</v>
      </c>
      <c r="U213" s="2">
        <v>0</v>
      </c>
      <c r="V213" s="2">
        <v>0</v>
      </c>
      <c r="W213" s="2">
        <v>35.47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 s="2">
        <v>0</v>
      </c>
      <c r="AE213">
        <v>35.47</v>
      </c>
      <c r="AF213">
        <v>100</v>
      </c>
      <c r="AG213">
        <v>35.47</v>
      </c>
      <c r="AH213">
        <v>100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35.47</v>
      </c>
      <c r="AR213">
        <v>35.47</v>
      </c>
      <c r="AS213">
        <v>12.14</v>
      </c>
      <c r="AT213">
        <v>0</v>
      </c>
      <c r="AU213">
        <v>23.33</v>
      </c>
      <c r="AV213">
        <v>65.77</v>
      </c>
    </row>
    <row r="214" spans="1:48" hidden="1" x14ac:dyDescent="0.2">
      <c r="A214">
        <v>102</v>
      </c>
      <c r="B214" t="s">
        <v>603</v>
      </c>
      <c r="C214" t="s">
        <v>604</v>
      </c>
      <c r="D214" t="s">
        <v>605</v>
      </c>
      <c r="E214" t="s">
        <v>606</v>
      </c>
      <c r="F214">
        <v>63</v>
      </c>
      <c r="G214" t="s">
        <v>607</v>
      </c>
      <c r="H214" t="s">
        <v>68</v>
      </c>
      <c r="I214" t="s">
        <v>69</v>
      </c>
      <c r="J214" s="2" t="s">
        <v>616</v>
      </c>
      <c r="K214" t="s">
        <v>617</v>
      </c>
      <c r="L214" s="2" t="s">
        <v>86</v>
      </c>
      <c r="M214" s="1">
        <v>45917</v>
      </c>
      <c r="N214" s="1">
        <v>45933</v>
      </c>
      <c r="O214" s="1">
        <v>46006</v>
      </c>
      <c r="Q214">
        <v>0</v>
      </c>
      <c r="R214">
        <v>0</v>
      </c>
      <c r="S214">
        <v>0</v>
      </c>
      <c r="T214" s="2">
        <v>0</v>
      </c>
      <c r="U214" s="2">
        <v>0</v>
      </c>
      <c r="V214" s="2">
        <v>0</v>
      </c>
      <c r="W214" s="2">
        <v>212.94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 s="2">
        <v>0</v>
      </c>
      <c r="AE214">
        <v>212.94</v>
      </c>
      <c r="AF214">
        <v>100</v>
      </c>
      <c r="AG214">
        <v>212.94</v>
      </c>
      <c r="AH214">
        <v>100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212.94</v>
      </c>
      <c r="AR214">
        <v>212.94</v>
      </c>
      <c r="AS214">
        <v>62.83</v>
      </c>
      <c r="AT214">
        <v>0</v>
      </c>
      <c r="AU214">
        <v>150.11000000000001</v>
      </c>
      <c r="AV214">
        <v>70.489999999999995</v>
      </c>
    </row>
    <row r="215" spans="1:48" hidden="1" x14ac:dyDescent="0.2">
      <c r="A215">
        <v>102</v>
      </c>
      <c r="B215" t="s">
        <v>603</v>
      </c>
      <c r="C215" t="s">
        <v>604</v>
      </c>
      <c r="D215" t="s">
        <v>605</v>
      </c>
      <c r="E215" t="s">
        <v>606</v>
      </c>
      <c r="F215">
        <v>63</v>
      </c>
      <c r="G215" t="s">
        <v>607</v>
      </c>
      <c r="H215" t="s">
        <v>68</v>
      </c>
      <c r="I215" t="s">
        <v>69</v>
      </c>
      <c r="J215" s="2" t="s">
        <v>618</v>
      </c>
      <c r="K215" t="s">
        <v>619</v>
      </c>
      <c r="L215" s="2" t="s">
        <v>86</v>
      </c>
      <c r="M215" s="1">
        <v>45951</v>
      </c>
      <c r="N215" s="1">
        <v>45965</v>
      </c>
      <c r="O215" s="1">
        <v>46006</v>
      </c>
      <c r="Q215">
        <v>0</v>
      </c>
      <c r="R215">
        <v>0</v>
      </c>
      <c r="S215">
        <v>0</v>
      </c>
      <c r="T215" s="2">
        <v>0</v>
      </c>
      <c r="U215" s="2">
        <v>0</v>
      </c>
      <c r="V215" s="2">
        <v>0</v>
      </c>
      <c r="W215" s="2">
        <v>103.79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 s="2">
        <v>0</v>
      </c>
      <c r="AE215">
        <v>103.79</v>
      </c>
      <c r="AF215">
        <v>100</v>
      </c>
      <c r="AG215">
        <v>103.79</v>
      </c>
      <c r="AH215">
        <v>100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103.79</v>
      </c>
      <c r="AR215">
        <v>103.79</v>
      </c>
      <c r="AS215">
        <v>30.5</v>
      </c>
      <c r="AT215">
        <v>0</v>
      </c>
      <c r="AU215">
        <v>73.290000000000006</v>
      </c>
      <c r="AV215">
        <v>70.61</v>
      </c>
    </row>
    <row r="216" spans="1:48" hidden="1" x14ac:dyDescent="0.2">
      <c r="A216">
        <v>102</v>
      </c>
      <c r="B216" t="s">
        <v>603</v>
      </c>
      <c r="C216" t="s">
        <v>604</v>
      </c>
      <c r="D216" t="s">
        <v>605</v>
      </c>
      <c r="E216" t="s">
        <v>606</v>
      </c>
      <c r="F216">
        <v>63</v>
      </c>
      <c r="G216" t="s">
        <v>607</v>
      </c>
      <c r="H216" t="s">
        <v>104</v>
      </c>
      <c r="I216" t="s">
        <v>69</v>
      </c>
      <c r="J216" s="2" t="s">
        <v>620</v>
      </c>
      <c r="K216" t="s">
        <v>621</v>
      </c>
      <c r="L216" s="2" t="s">
        <v>86</v>
      </c>
      <c r="M216" s="1">
        <v>45960</v>
      </c>
      <c r="N216" s="1">
        <v>45965</v>
      </c>
      <c r="O216" s="1">
        <v>46006</v>
      </c>
      <c r="Q216">
        <v>0</v>
      </c>
      <c r="R216">
        <v>0</v>
      </c>
      <c r="S216">
        <v>0</v>
      </c>
      <c r="T216" s="2">
        <v>0</v>
      </c>
      <c r="U216" s="2">
        <v>0</v>
      </c>
      <c r="V216" s="2">
        <v>0</v>
      </c>
      <c r="W216" s="2">
        <v>146.16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 s="2">
        <v>0</v>
      </c>
      <c r="AE216">
        <v>146.16</v>
      </c>
      <c r="AF216">
        <v>100</v>
      </c>
      <c r="AG216">
        <v>146.16</v>
      </c>
      <c r="AH216">
        <v>100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146.16</v>
      </c>
      <c r="AR216">
        <v>146.16</v>
      </c>
      <c r="AS216">
        <v>78.97</v>
      </c>
      <c r="AT216">
        <v>0</v>
      </c>
      <c r="AU216">
        <v>67.19</v>
      </c>
      <c r="AV216">
        <v>45.97</v>
      </c>
    </row>
    <row r="217" spans="1:48" hidden="1" x14ac:dyDescent="0.2">
      <c r="A217">
        <v>102</v>
      </c>
      <c r="B217" t="s">
        <v>603</v>
      </c>
      <c r="C217" t="s">
        <v>604</v>
      </c>
      <c r="D217" t="s">
        <v>605</v>
      </c>
      <c r="E217" t="s">
        <v>606</v>
      </c>
      <c r="F217">
        <v>63</v>
      </c>
      <c r="G217" t="s">
        <v>607</v>
      </c>
      <c r="H217" t="s">
        <v>68</v>
      </c>
      <c r="I217" t="s">
        <v>69</v>
      </c>
      <c r="J217" s="2" t="s">
        <v>622</v>
      </c>
      <c r="K217" t="s">
        <v>623</v>
      </c>
      <c r="L217" s="2" t="s">
        <v>86</v>
      </c>
      <c r="M217" s="1">
        <v>45991</v>
      </c>
      <c r="N217" s="1">
        <v>46029</v>
      </c>
      <c r="O217" s="1">
        <v>46022</v>
      </c>
      <c r="Q217">
        <v>0</v>
      </c>
      <c r="R217">
        <v>0</v>
      </c>
      <c r="S217">
        <v>0</v>
      </c>
      <c r="T217" s="2">
        <v>0</v>
      </c>
      <c r="U217" s="2">
        <v>0</v>
      </c>
      <c r="V217" s="2">
        <v>0</v>
      </c>
      <c r="W217" s="2">
        <v>217.35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 s="2">
        <v>0</v>
      </c>
      <c r="AE217">
        <v>217.35</v>
      </c>
      <c r="AF217">
        <v>100</v>
      </c>
      <c r="AG217">
        <v>217.35</v>
      </c>
      <c r="AH217">
        <v>100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217.35</v>
      </c>
      <c r="AR217">
        <v>217.35</v>
      </c>
      <c r="AS217">
        <v>89.52</v>
      </c>
      <c r="AT217">
        <v>0</v>
      </c>
      <c r="AU217">
        <v>127.83</v>
      </c>
      <c r="AV217">
        <v>58.81</v>
      </c>
    </row>
    <row r="218" spans="1:48" hidden="1" x14ac:dyDescent="0.2">
      <c r="A218">
        <v>102</v>
      </c>
      <c r="B218" t="s">
        <v>603</v>
      </c>
      <c r="C218" t="s">
        <v>604</v>
      </c>
      <c r="D218" t="s">
        <v>605</v>
      </c>
      <c r="E218" t="s">
        <v>606</v>
      </c>
      <c r="F218">
        <v>63</v>
      </c>
      <c r="G218" t="s">
        <v>607</v>
      </c>
      <c r="H218" t="s">
        <v>68</v>
      </c>
      <c r="I218" t="s">
        <v>69</v>
      </c>
      <c r="J218" s="2" t="s">
        <v>624</v>
      </c>
      <c r="K218" t="s">
        <v>625</v>
      </c>
      <c r="L218" s="2" t="s">
        <v>55</v>
      </c>
      <c r="M218" s="1">
        <v>45992</v>
      </c>
      <c r="N218" s="1">
        <v>46030</v>
      </c>
      <c r="O218" t="s">
        <v>64</v>
      </c>
      <c r="Q218">
        <v>0</v>
      </c>
      <c r="R218">
        <v>0</v>
      </c>
      <c r="S218">
        <v>0</v>
      </c>
      <c r="T218" s="2">
        <v>182.04</v>
      </c>
      <c r="U218" s="2">
        <v>0</v>
      </c>
      <c r="V218" s="2">
        <v>0</v>
      </c>
      <c r="W218" s="2">
        <v>0</v>
      </c>
      <c r="X218">
        <v>0</v>
      </c>
      <c r="Y218">
        <v>17.149999999999999</v>
      </c>
      <c r="Z218">
        <v>0</v>
      </c>
      <c r="AA218">
        <v>46.25</v>
      </c>
      <c r="AB218">
        <v>24.93</v>
      </c>
      <c r="AC218">
        <v>4.43</v>
      </c>
      <c r="AD218" s="2">
        <v>92.76</v>
      </c>
      <c r="AE218">
        <v>-92.76</v>
      </c>
      <c r="AF218">
        <v>0</v>
      </c>
      <c r="AG218">
        <v>89.28</v>
      </c>
      <c r="AH218">
        <v>49.04</v>
      </c>
      <c r="AI218">
        <v>0</v>
      </c>
      <c r="AJ218">
        <v>2.3199999999999998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92.76</v>
      </c>
      <c r="AT218">
        <v>0</v>
      </c>
      <c r="AU218">
        <v>-92.76</v>
      </c>
      <c r="AV218">
        <v>0</v>
      </c>
    </row>
    <row r="219" spans="1:48" hidden="1" x14ac:dyDescent="0.2">
      <c r="A219">
        <v>102</v>
      </c>
      <c r="B219" t="s">
        <v>603</v>
      </c>
      <c r="C219" t="s">
        <v>604</v>
      </c>
      <c r="D219" t="s">
        <v>605</v>
      </c>
      <c r="E219" t="s">
        <v>606</v>
      </c>
      <c r="F219">
        <v>63</v>
      </c>
      <c r="G219" t="s">
        <v>607</v>
      </c>
      <c r="H219" t="s">
        <v>68</v>
      </c>
      <c r="I219" t="s">
        <v>69</v>
      </c>
      <c r="J219" s="2" t="s">
        <v>626</v>
      </c>
      <c r="K219" t="s">
        <v>627</v>
      </c>
      <c r="L219" s="2" t="s">
        <v>86</v>
      </c>
      <c r="M219" s="1">
        <v>45992</v>
      </c>
      <c r="N219" s="1">
        <v>46030</v>
      </c>
      <c r="O219" t="s">
        <v>64</v>
      </c>
      <c r="Q219">
        <v>0</v>
      </c>
      <c r="R219">
        <v>0</v>
      </c>
      <c r="S219">
        <v>0</v>
      </c>
      <c r="T219" s="2">
        <v>0</v>
      </c>
      <c r="U219" s="2">
        <v>0</v>
      </c>
      <c r="V219" s="2">
        <v>0</v>
      </c>
      <c r="W219" s="2">
        <v>0</v>
      </c>
      <c r="X219">
        <v>0</v>
      </c>
      <c r="Y219">
        <v>6.25</v>
      </c>
      <c r="Z219">
        <v>0</v>
      </c>
      <c r="AA219">
        <v>21.89</v>
      </c>
      <c r="AB219">
        <v>6.24</v>
      </c>
      <c r="AC219">
        <v>1.2</v>
      </c>
      <c r="AD219" s="2">
        <v>35.58</v>
      </c>
      <c r="AE219">
        <v>-35.58</v>
      </c>
      <c r="AF219">
        <v>0</v>
      </c>
      <c r="AG219">
        <v>-35.58</v>
      </c>
      <c r="AH219">
        <v>0</v>
      </c>
      <c r="AI219">
        <v>0</v>
      </c>
      <c r="AJ219">
        <v>0.88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35.58</v>
      </c>
      <c r="AT219">
        <v>0</v>
      </c>
      <c r="AU219">
        <v>-35.58</v>
      </c>
      <c r="AV219">
        <v>0</v>
      </c>
    </row>
    <row r="220" spans="1:48" hidden="1" x14ac:dyDescent="0.2">
      <c r="A220">
        <v>102</v>
      </c>
      <c r="B220" t="s">
        <v>603</v>
      </c>
      <c r="C220" t="s">
        <v>604</v>
      </c>
      <c r="D220" t="s">
        <v>605</v>
      </c>
      <c r="E220" t="s">
        <v>606</v>
      </c>
      <c r="F220">
        <v>63</v>
      </c>
      <c r="G220" t="s">
        <v>607</v>
      </c>
      <c r="H220" t="s">
        <v>104</v>
      </c>
      <c r="I220" t="s">
        <v>69</v>
      </c>
      <c r="J220" s="2" t="s">
        <v>628</v>
      </c>
      <c r="K220" t="s">
        <v>629</v>
      </c>
      <c r="L220" s="2" t="s">
        <v>55</v>
      </c>
      <c r="M220" s="1">
        <v>46010</v>
      </c>
      <c r="N220" s="1">
        <v>46033</v>
      </c>
      <c r="O220" t="s">
        <v>64</v>
      </c>
      <c r="Q220">
        <v>0</v>
      </c>
      <c r="R220">
        <v>0</v>
      </c>
      <c r="S220">
        <v>0</v>
      </c>
      <c r="T220" s="2">
        <v>205.84</v>
      </c>
      <c r="U220" s="2">
        <v>0</v>
      </c>
      <c r="V220" s="2">
        <v>0</v>
      </c>
      <c r="W220" s="2">
        <v>0</v>
      </c>
      <c r="X220">
        <v>0</v>
      </c>
      <c r="Y220">
        <v>0</v>
      </c>
      <c r="Z220">
        <v>0</v>
      </c>
      <c r="AA220">
        <v>85.9</v>
      </c>
      <c r="AB220">
        <v>72.75</v>
      </c>
      <c r="AC220">
        <v>13.59</v>
      </c>
      <c r="AD220" s="2">
        <v>172.24</v>
      </c>
      <c r="AE220">
        <v>-172.24</v>
      </c>
      <c r="AF220">
        <v>0</v>
      </c>
      <c r="AG220">
        <v>33.6</v>
      </c>
      <c r="AH220">
        <v>16.32</v>
      </c>
      <c r="AI220">
        <v>0</v>
      </c>
      <c r="AJ220">
        <v>5.21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172.24</v>
      </c>
      <c r="AT220">
        <v>0</v>
      </c>
      <c r="AU220">
        <v>-172.24</v>
      </c>
      <c r="AV220">
        <v>0</v>
      </c>
    </row>
    <row r="221" spans="1:48" hidden="1" x14ac:dyDescent="0.2">
      <c r="A221">
        <v>102</v>
      </c>
      <c r="B221" t="s">
        <v>603</v>
      </c>
      <c r="C221" t="s">
        <v>604</v>
      </c>
      <c r="D221" t="s">
        <v>605</v>
      </c>
      <c r="E221" t="s">
        <v>606</v>
      </c>
      <c r="F221">
        <v>63</v>
      </c>
      <c r="G221" t="s">
        <v>607</v>
      </c>
      <c r="H221" t="s">
        <v>68</v>
      </c>
      <c r="I221" t="s">
        <v>69</v>
      </c>
      <c r="J221" s="2" t="s">
        <v>630</v>
      </c>
      <c r="K221" t="s">
        <v>631</v>
      </c>
      <c r="L221" s="2" t="s">
        <v>55</v>
      </c>
      <c r="M221" s="1">
        <v>46019</v>
      </c>
      <c r="N221" s="1">
        <v>46033</v>
      </c>
      <c r="O221" t="s">
        <v>64</v>
      </c>
      <c r="Q221">
        <v>0</v>
      </c>
      <c r="R221">
        <v>0</v>
      </c>
      <c r="S221">
        <v>0</v>
      </c>
      <c r="T221" s="2">
        <v>43.47</v>
      </c>
      <c r="U221" s="2">
        <v>0</v>
      </c>
      <c r="V221" s="2">
        <v>0</v>
      </c>
      <c r="W221" s="2">
        <v>0</v>
      </c>
      <c r="X221">
        <v>0</v>
      </c>
      <c r="Y221">
        <v>0</v>
      </c>
      <c r="Z221">
        <v>0</v>
      </c>
      <c r="AA221">
        <v>3.14</v>
      </c>
      <c r="AB221">
        <v>19.63</v>
      </c>
      <c r="AC221">
        <v>0</v>
      </c>
      <c r="AD221" s="2">
        <v>22.77</v>
      </c>
      <c r="AE221">
        <v>-22.77</v>
      </c>
      <c r="AF221">
        <v>0</v>
      </c>
      <c r="AG221">
        <v>20.7</v>
      </c>
      <c r="AH221">
        <v>47.62</v>
      </c>
      <c r="AI221">
        <v>0</v>
      </c>
      <c r="AJ221">
        <v>0.41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22.77</v>
      </c>
      <c r="AT221">
        <v>0</v>
      </c>
      <c r="AU221">
        <v>-22.77</v>
      </c>
      <c r="AV221">
        <v>0</v>
      </c>
    </row>
    <row r="222" spans="1:48" hidden="1" x14ac:dyDescent="0.2">
      <c r="A222">
        <v>102</v>
      </c>
      <c r="B222" t="s">
        <v>603</v>
      </c>
      <c r="C222" t="s">
        <v>604</v>
      </c>
      <c r="D222" t="s">
        <v>605</v>
      </c>
      <c r="E222" t="s">
        <v>606</v>
      </c>
      <c r="F222">
        <v>130</v>
      </c>
      <c r="G222" t="s">
        <v>632</v>
      </c>
      <c r="H222" t="s">
        <v>51</v>
      </c>
      <c r="I222" t="s">
        <v>60</v>
      </c>
      <c r="J222" s="2" t="s">
        <v>633</v>
      </c>
      <c r="K222" t="s">
        <v>634</v>
      </c>
      <c r="L222" s="2" t="s">
        <v>55</v>
      </c>
      <c r="M222" s="1">
        <v>45261</v>
      </c>
      <c r="N222" s="1">
        <v>45995</v>
      </c>
      <c r="O222" t="s">
        <v>64</v>
      </c>
      <c r="P222" t="s">
        <v>635</v>
      </c>
      <c r="Q222">
        <v>0</v>
      </c>
      <c r="R222">
        <v>0</v>
      </c>
      <c r="S222">
        <v>0</v>
      </c>
      <c r="T222" s="2">
        <v>0</v>
      </c>
      <c r="U222" s="2">
        <v>0</v>
      </c>
      <c r="V222" s="2">
        <v>0</v>
      </c>
      <c r="W222" s="2">
        <v>741.94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 s="2">
        <v>0</v>
      </c>
      <c r="AE222">
        <v>741.94</v>
      </c>
      <c r="AF222">
        <v>100</v>
      </c>
      <c r="AG222">
        <v>741.94</v>
      </c>
      <c r="AH222">
        <v>100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741.94</v>
      </c>
      <c r="AR222">
        <v>14096.86</v>
      </c>
      <c r="AS222">
        <v>0</v>
      </c>
      <c r="AT222">
        <v>3175.9</v>
      </c>
      <c r="AU222">
        <v>10920.96</v>
      </c>
      <c r="AV222">
        <v>77.47</v>
      </c>
    </row>
    <row r="223" spans="1:48" hidden="1" x14ac:dyDescent="0.2">
      <c r="A223">
        <v>102</v>
      </c>
      <c r="B223" t="s">
        <v>603</v>
      </c>
      <c r="C223" t="s">
        <v>604</v>
      </c>
      <c r="D223" t="s">
        <v>605</v>
      </c>
      <c r="E223" t="s">
        <v>606</v>
      </c>
      <c r="F223">
        <v>130</v>
      </c>
      <c r="G223" t="s">
        <v>632</v>
      </c>
      <c r="H223" t="s">
        <v>137</v>
      </c>
      <c r="I223" t="s">
        <v>60</v>
      </c>
      <c r="J223" s="2" t="s">
        <v>636</v>
      </c>
      <c r="K223" t="s">
        <v>637</v>
      </c>
      <c r="L223" s="2" t="s">
        <v>63</v>
      </c>
      <c r="M223" s="1">
        <v>45992</v>
      </c>
      <c r="N223" t="s">
        <v>64</v>
      </c>
      <c r="O223" s="1">
        <v>46024</v>
      </c>
      <c r="P223" t="s">
        <v>65</v>
      </c>
      <c r="Q223">
        <v>37000.080000000002</v>
      </c>
      <c r="R223">
        <v>11483.14</v>
      </c>
      <c r="S223">
        <v>0</v>
      </c>
      <c r="T223" s="2">
        <v>0</v>
      </c>
      <c r="U223" s="2">
        <v>0</v>
      </c>
      <c r="V223" s="2">
        <v>0</v>
      </c>
      <c r="W223" s="2">
        <v>1837.68</v>
      </c>
      <c r="X223">
        <v>0</v>
      </c>
      <c r="Y223">
        <v>0</v>
      </c>
      <c r="Z223">
        <v>0</v>
      </c>
      <c r="AA223">
        <v>68.55</v>
      </c>
      <c r="AB223">
        <v>105.83</v>
      </c>
      <c r="AC223">
        <v>0</v>
      </c>
      <c r="AD223" s="2">
        <v>174.38</v>
      </c>
      <c r="AE223">
        <v>1663.3</v>
      </c>
      <c r="AF223">
        <v>90.51</v>
      </c>
      <c r="AG223">
        <v>1663.3</v>
      </c>
      <c r="AH223">
        <v>90.51</v>
      </c>
      <c r="AI223">
        <v>0</v>
      </c>
      <c r="AJ223">
        <v>5.03</v>
      </c>
      <c r="AK223">
        <v>1416.54</v>
      </c>
      <c r="AL223">
        <v>0</v>
      </c>
      <c r="AM223">
        <v>40.06</v>
      </c>
      <c r="AN223">
        <v>0</v>
      </c>
      <c r="AO223">
        <v>0</v>
      </c>
      <c r="AP223">
        <v>1456.6</v>
      </c>
      <c r="AQ223">
        <v>1837.68</v>
      </c>
      <c r="AR223">
        <v>1837.68</v>
      </c>
      <c r="AS223">
        <v>174.38</v>
      </c>
      <c r="AT223">
        <v>1456.6</v>
      </c>
      <c r="AU223">
        <v>206.7</v>
      </c>
      <c r="AV223">
        <v>11.25</v>
      </c>
    </row>
    <row r="224" spans="1:48" hidden="1" x14ac:dyDescent="0.2">
      <c r="A224">
        <v>102</v>
      </c>
      <c r="B224" t="s">
        <v>603</v>
      </c>
      <c r="C224" t="s">
        <v>604</v>
      </c>
      <c r="D224" t="s">
        <v>605</v>
      </c>
      <c r="E224" t="s">
        <v>606</v>
      </c>
      <c r="F224">
        <v>130</v>
      </c>
      <c r="G224" t="s">
        <v>632</v>
      </c>
      <c r="H224" t="s">
        <v>68</v>
      </c>
      <c r="I224" t="s">
        <v>69</v>
      </c>
      <c r="J224" s="2" t="s">
        <v>638</v>
      </c>
      <c r="K224" t="s">
        <v>639</v>
      </c>
      <c r="L224" s="2" t="s">
        <v>55</v>
      </c>
      <c r="M224" s="1">
        <v>46009</v>
      </c>
      <c r="N224" s="1">
        <v>46029</v>
      </c>
      <c r="O224" t="s">
        <v>64</v>
      </c>
      <c r="Q224">
        <v>0</v>
      </c>
      <c r="R224">
        <v>0</v>
      </c>
      <c r="S224">
        <v>0</v>
      </c>
      <c r="T224" s="2">
        <v>72.3</v>
      </c>
      <c r="U224" s="2">
        <v>0</v>
      </c>
      <c r="V224" s="2">
        <v>0</v>
      </c>
      <c r="W224" s="2">
        <v>0</v>
      </c>
      <c r="X224">
        <v>0</v>
      </c>
      <c r="Y224">
        <v>0</v>
      </c>
      <c r="Z224">
        <v>0</v>
      </c>
      <c r="AA224">
        <v>21.47</v>
      </c>
      <c r="AB224">
        <v>56.07</v>
      </c>
      <c r="AC224">
        <v>0</v>
      </c>
      <c r="AD224" s="2">
        <v>77.540000000000006</v>
      </c>
      <c r="AE224">
        <v>-77.540000000000006</v>
      </c>
      <c r="AF224">
        <v>0</v>
      </c>
      <c r="AG224">
        <v>-5.24</v>
      </c>
      <c r="AH224">
        <v>-7.25</v>
      </c>
      <c r="AI224">
        <v>0</v>
      </c>
      <c r="AJ224">
        <v>2.4900000000000002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77.540000000000006</v>
      </c>
      <c r="AT224">
        <v>0</v>
      </c>
      <c r="AU224">
        <v>-77.540000000000006</v>
      </c>
      <c r="AV224">
        <v>0</v>
      </c>
    </row>
    <row r="225" spans="1:48" hidden="1" x14ac:dyDescent="0.2">
      <c r="A225">
        <v>102</v>
      </c>
      <c r="B225" t="s">
        <v>603</v>
      </c>
      <c r="C225" t="s">
        <v>604</v>
      </c>
      <c r="D225" t="s">
        <v>605</v>
      </c>
      <c r="E225" t="s">
        <v>606</v>
      </c>
      <c r="F225">
        <v>233</v>
      </c>
      <c r="G225" t="s">
        <v>640</v>
      </c>
      <c r="H225" t="s">
        <v>59</v>
      </c>
      <c r="I225" t="s">
        <v>60</v>
      </c>
      <c r="J225" s="2" t="s">
        <v>641</v>
      </c>
      <c r="K225" t="s">
        <v>642</v>
      </c>
      <c r="L225" s="2" t="s">
        <v>63</v>
      </c>
      <c r="M225" s="1">
        <v>45658</v>
      </c>
      <c r="N225" t="s">
        <v>64</v>
      </c>
      <c r="O225" s="1">
        <v>46024</v>
      </c>
      <c r="P225" t="s">
        <v>65</v>
      </c>
      <c r="Q225">
        <v>8262.9599999999991</v>
      </c>
      <c r="R225">
        <v>5721.38</v>
      </c>
      <c r="S225">
        <v>0</v>
      </c>
      <c r="T225" s="2">
        <v>0</v>
      </c>
      <c r="U225" s="2">
        <v>0</v>
      </c>
      <c r="V225" s="2">
        <v>0</v>
      </c>
      <c r="W225" s="2">
        <v>881.88</v>
      </c>
      <c r="X225">
        <v>0</v>
      </c>
      <c r="Y225">
        <v>43.07</v>
      </c>
      <c r="Z225">
        <v>0</v>
      </c>
      <c r="AA225">
        <v>778.97</v>
      </c>
      <c r="AB225">
        <v>152.56</v>
      </c>
      <c r="AC225">
        <v>38.65</v>
      </c>
      <c r="AD225" s="2">
        <v>1013.25</v>
      </c>
      <c r="AE225">
        <v>-131.37</v>
      </c>
      <c r="AF225">
        <v>-14.9</v>
      </c>
      <c r="AG225">
        <v>-131.37</v>
      </c>
      <c r="AH225">
        <v>-14.9</v>
      </c>
      <c r="AI225">
        <v>0</v>
      </c>
      <c r="AJ225">
        <v>37.380000000000003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881.88</v>
      </c>
      <c r="AR225">
        <v>8794.86</v>
      </c>
      <c r="AS225">
        <v>3511.98</v>
      </c>
      <c r="AT225">
        <v>0</v>
      </c>
      <c r="AU225">
        <v>5282.88</v>
      </c>
      <c r="AV225">
        <v>60.07</v>
      </c>
    </row>
    <row r="226" spans="1:48" hidden="1" x14ac:dyDescent="0.2">
      <c r="A226">
        <v>102</v>
      </c>
      <c r="B226" t="s">
        <v>603</v>
      </c>
      <c r="C226" t="s">
        <v>604</v>
      </c>
      <c r="D226" t="s">
        <v>605</v>
      </c>
      <c r="E226" t="s">
        <v>606</v>
      </c>
      <c r="F226">
        <v>233</v>
      </c>
      <c r="G226" t="s">
        <v>640</v>
      </c>
      <c r="H226" t="s">
        <v>137</v>
      </c>
      <c r="I226" t="s">
        <v>60</v>
      </c>
      <c r="J226" s="2" t="s">
        <v>643</v>
      </c>
      <c r="K226" t="s">
        <v>644</v>
      </c>
      <c r="L226" s="2" t="s">
        <v>63</v>
      </c>
      <c r="M226" s="1">
        <v>45809</v>
      </c>
      <c r="N226" t="s">
        <v>64</v>
      </c>
      <c r="O226" t="s">
        <v>64</v>
      </c>
      <c r="P226" t="s">
        <v>65</v>
      </c>
      <c r="Q226">
        <v>2</v>
      </c>
      <c r="R226">
        <v>14482.42</v>
      </c>
      <c r="S226">
        <v>0</v>
      </c>
      <c r="T226" s="2">
        <v>0</v>
      </c>
      <c r="U226" s="2">
        <v>0</v>
      </c>
      <c r="V226" s="2">
        <v>0</v>
      </c>
      <c r="W226" s="2">
        <v>0</v>
      </c>
      <c r="X226">
        <v>0</v>
      </c>
      <c r="Y226">
        <v>0</v>
      </c>
      <c r="Z226">
        <v>0</v>
      </c>
      <c r="AA226">
        <v>269.68</v>
      </c>
      <c r="AB226">
        <v>0</v>
      </c>
      <c r="AC226">
        <v>0</v>
      </c>
      <c r="AD226" s="2">
        <v>269.68</v>
      </c>
      <c r="AE226">
        <v>-269.68</v>
      </c>
      <c r="AF226">
        <v>0</v>
      </c>
      <c r="AG226">
        <v>-269.68</v>
      </c>
      <c r="AH226">
        <v>0</v>
      </c>
      <c r="AI226">
        <v>0</v>
      </c>
      <c r="AJ226">
        <v>10.89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297.27</v>
      </c>
      <c r="AT226">
        <v>0</v>
      </c>
      <c r="AU226">
        <v>-297.27</v>
      </c>
      <c r="AV226">
        <v>0</v>
      </c>
    </row>
    <row r="227" spans="1:48" hidden="1" x14ac:dyDescent="0.2">
      <c r="A227">
        <v>102</v>
      </c>
      <c r="B227" t="s">
        <v>603</v>
      </c>
      <c r="C227" t="s">
        <v>604</v>
      </c>
      <c r="D227" t="s">
        <v>605</v>
      </c>
      <c r="E227" t="s">
        <v>606</v>
      </c>
      <c r="F227">
        <v>233</v>
      </c>
      <c r="G227" t="s">
        <v>640</v>
      </c>
      <c r="H227" t="s">
        <v>51</v>
      </c>
      <c r="I227" t="s">
        <v>60</v>
      </c>
      <c r="J227" s="2" t="s">
        <v>645</v>
      </c>
      <c r="K227" t="s">
        <v>646</v>
      </c>
      <c r="L227" s="2" t="s">
        <v>63</v>
      </c>
      <c r="M227" s="1">
        <v>45869</v>
      </c>
      <c r="N227" t="s">
        <v>64</v>
      </c>
      <c r="O227" t="s">
        <v>64</v>
      </c>
      <c r="P227" t="s">
        <v>635</v>
      </c>
      <c r="Q227">
        <v>0</v>
      </c>
      <c r="R227">
        <v>0</v>
      </c>
      <c r="S227">
        <v>0</v>
      </c>
      <c r="T227" s="2">
        <v>0</v>
      </c>
      <c r="U227" s="2">
        <v>0</v>
      </c>
      <c r="V227" s="2">
        <v>0</v>
      </c>
      <c r="W227" s="2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 s="2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25.15</v>
      </c>
      <c r="AN227">
        <v>21.87</v>
      </c>
      <c r="AO227">
        <v>3.74</v>
      </c>
      <c r="AP227">
        <v>50.76</v>
      </c>
      <c r="AQ227">
        <v>0</v>
      </c>
      <c r="AR227">
        <v>0</v>
      </c>
      <c r="AS227">
        <v>0</v>
      </c>
      <c r="AT227">
        <v>50.76</v>
      </c>
      <c r="AU227">
        <v>-50.76</v>
      </c>
      <c r="AV227">
        <v>0</v>
      </c>
    </row>
    <row r="228" spans="1:48" hidden="1" x14ac:dyDescent="0.2">
      <c r="A228">
        <v>102</v>
      </c>
      <c r="B228" t="s">
        <v>603</v>
      </c>
      <c r="C228" t="s">
        <v>604</v>
      </c>
      <c r="D228" t="s">
        <v>605</v>
      </c>
      <c r="E228" t="s">
        <v>606</v>
      </c>
      <c r="F228">
        <v>233</v>
      </c>
      <c r="G228" t="s">
        <v>640</v>
      </c>
      <c r="H228" t="s">
        <v>68</v>
      </c>
      <c r="I228" t="s">
        <v>69</v>
      </c>
      <c r="J228" s="2" t="s">
        <v>647</v>
      </c>
      <c r="K228" t="s">
        <v>648</v>
      </c>
      <c r="L228" s="2" t="s">
        <v>86</v>
      </c>
      <c r="M228" s="1">
        <v>45967</v>
      </c>
      <c r="N228" s="1">
        <v>45989</v>
      </c>
      <c r="O228" s="1">
        <v>46006</v>
      </c>
      <c r="Q228">
        <v>0</v>
      </c>
      <c r="R228">
        <v>0</v>
      </c>
      <c r="S228">
        <v>0</v>
      </c>
      <c r="T228" s="2">
        <v>0</v>
      </c>
      <c r="U228" s="2">
        <v>0</v>
      </c>
      <c r="V228" s="2">
        <v>0</v>
      </c>
      <c r="W228" s="2">
        <v>72.290000000000006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 s="2">
        <v>0</v>
      </c>
      <c r="AE228">
        <v>72.290000000000006</v>
      </c>
      <c r="AF228">
        <v>100</v>
      </c>
      <c r="AG228">
        <v>72.290000000000006</v>
      </c>
      <c r="AH228">
        <v>100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72.290000000000006</v>
      </c>
      <c r="AR228">
        <v>72.290000000000006</v>
      </c>
      <c r="AS228">
        <v>75.900000000000006</v>
      </c>
      <c r="AT228">
        <v>0</v>
      </c>
      <c r="AU228">
        <v>-3.61</v>
      </c>
      <c r="AV228">
        <v>-4.99</v>
      </c>
    </row>
    <row r="229" spans="1:48" hidden="1" x14ac:dyDescent="0.2">
      <c r="A229">
        <v>102</v>
      </c>
      <c r="B229" t="s">
        <v>603</v>
      </c>
      <c r="C229" t="s">
        <v>604</v>
      </c>
      <c r="D229" t="s">
        <v>605</v>
      </c>
      <c r="E229" t="s">
        <v>606</v>
      </c>
      <c r="F229">
        <v>233</v>
      </c>
      <c r="G229" t="s">
        <v>640</v>
      </c>
      <c r="H229" t="s">
        <v>104</v>
      </c>
      <c r="I229" t="s">
        <v>69</v>
      </c>
      <c r="J229" s="2" t="s">
        <v>649</v>
      </c>
      <c r="K229" t="s">
        <v>650</v>
      </c>
      <c r="L229" s="2" t="s">
        <v>55</v>
      </c>
      <c r="M229" s="1">
        <v>46017</v>
      </c>
      <c r="N229" s="1">
        <v>46031</v>
      </c>
      <c r="O229" t="s">
        <v>64</v>
      </c>
      <c r="Q229">
        <v>0</v>
      </c>
      <c r="R229">
        <v>0</v>
      </c>
      <c r="S229">
        <v>0</v>
      </c>
      <c r="T229" s="2">
        <v>128.65</v>
      </c>
      <c r="U229" s="2">
        <v>0</v>
      </c>
      <c r="V229" s="2">
        <v>0</v>
      </c>
      <c r="W229" s="2">
        <v>0</v>
      </c>
      <c r="X229">
        <v>0</v>
      </c>
      <c r="Y229">
        <v>0</v>
      </c>
      <c r="Z229">
        <v>0</v>
      </c>
      <c r="AA229">
        <v>50.39</v>
      </c>
      <c r="AB229">
        <v>29.77</v>
      </c>
      <c r="AC229">
        <v>3.65</v>
      </c>
      <c r="AD229" s="2">
        <v>83.81</v>
      </c>
      <c r="AE229">
        <v>-83.81</v>
      </c>
      <c r="AF229">
        <v>0</v>
      </c>
      <c r="AG229">
        <v>44.84</v>
      </c>
      <c r="AH229">
        <v>34.85</v>
      </c>
      <c r="AI229">
        <v>0</v>
      </c>
      <c r="AJ229">
        <v>2.78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83.81</v>
      </c>
      <c r="AT229">
        <v>0</v>
      </c>
      <c r="AU229">
        <v>-83.81</v>
      </c>
      <c r="AV229">
        <v>0</v>
      </c>
    </row>
    <row r="230" spans="1:48" hidden="1" x14ac:dyDescent="0.2">
      <c r="A230">
        <v>102</v>
      </c>
      <c r="B230" t="s">
        <v>603</v>
      </c>
      <c r="C230" t="s">
        <v>604</v>
      </c>
      <c r="D230" t="s">
        <v>605</v>
      </c>
      <c r="E230" t="s">
        <v>606</v>
      </c>
      <c r="F230">
        <v>45</v>
      </c>
      <c r="G230" t="s">
        <v>651</v>
      </c>
      <c r="H230" t="s">
        <v>137</v>
      </c>
      <c r="I230" t="s">
        <v>60</v>
      </c>
      <c r="J230" s="2" t="s">
        <v>652</v>
      </c>
      <c r="K230" t="s">
        <v>653</v>
      </c>
      <c r="L230" s="2" t="s">
        <v>63</v>
      </c>
      <c r="M230" s="1">
        <v>45108</v>
      </c>
      <c r="N230" t="s">
        <v>64</v>
      </c>
      <c r="O230" s="1">
        <v>46024</v>
      </c>
      <c r="P230" t="s">
        <v>65</v>
      </c>
      <c r="Q230">
        <v>100682.4</v>
      </c>
      <c r="R230">
        <v>14258.38</v>
      </c>
      <c r="S230">
        <v>0</v>
      </c>
      <c r="T230" s="2">
        <v>0</v>
      </c>
      <c r="U230" s="2">
        <v>0</v>
      </c>
      <c r="V230" s="2">
        <v>0</v>
      </c>
      <c r="W230" s="2">
        <v>2097.5500000000002</v>
      </c>
      <c r="X230">
        <v>0</v>
      </c>
      <c r="Y230">
        <v>105.61</v>
      </c>
      <c r="Z230">
        <v>0</v>
      </c>
      <c r="AA230">
        <v>149.09</v>
      </c>
      <c r="AB230">
        <v>67.459999999999994</v>
      </c>
      <c r="AC230">
        <v>2.94</v>
      </c>
      <c r="AD230" s="2">
        <v>325.10000000000002</v>
      </c>
      <c r="AE230">
        <v>1772.45</v>
      </c>
      <c r="AF230">
        <v>84.5</v>
      </c>
      <c r="AG230">
        <v>1772.45</v>
      </c>
      <c r="AH230">
        <v>84.5</v>
      </c>
      <c r="AI230">
        <v>0</v>
      </c>
      <c r="AJ230">
        <v>7.41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2097.5500000000002</v>
      </c>
      <c r="AR230">
        <v>62183.69</v>
      </c>
      <c r="AS230">
        <v>13664.86</v>
      </c>
      <c r="AT230">
        <v>0</v>
      </c>
      <c r="AU230">
        <v>48518.83</v>
      </c>
      <c r="AV230">
        <v>78.03</v>
      </c>
    </row>
    <row r="231" spans="1:48" hidden="1" x14ac:dyDescent="0.2">
      <c r="A231">
        <v>102</v>
      </c>
      <c r="B231" t="s">
        <v>603</v>
      </c>
      <c r="C231" t="s">
        <v>604</v>
      </c>
      <c r="D231" t="s">
        <v>605</v>
      </c>
      <c r="E231" t="s">
        <v>606</v>
      </c>
      <c r="F231">
        <v>45</v>
      </c>
      <c r="G231" t="s">
        <v>651</v>
      </c>
      <c r="H231" t="s">
        <v>59</v>
      </c>
      <c r="I231" t="s">
        <v>60</v>
      </c>
      <c r="J231" s="2" t="s">
        <v>654</v>
      </c>
      <c r="K231" t="s">
        <v>655</v>
      </c>
      <c r="L231" s="2" t="s">
        <v>63</v>
      </c>
      <c r="M231" s="1">
        <v>45658</v>
      </c>
      <c r="N231" t="s">
        <v>64</v>
      </c>
      <c r="O231" s="1">
        <v>46024</v>
      </c>
      <c r="P231" t="s">
        <v>65</v>
      </c>
      <c r="Q231">
        <v>8262.9599999999991</v>
      </c>
      <c r="R231">
        <v>5516.94</v>
      </c>
      <c r="S231">
        <v>0</v>
      </c>
      <c r="T231" s="2">
        <v>0</v>
      </c>
      <c r="U231" s="2">
        <v>0</v>
      </c>
      <c r="V231" s="2">
        <v>0</v>
      </c>
      <c r="W231" s="2">
        <v>688.58</v>
      </c>
      <c r="X231">
        <v>0</v>
      </c>
      <c r="Y231">
        <v>0</v>
      </c>
      <c r="Z231">
        <v>0</v>
      </c>
      <c r="AA231">
        <v>194.94</v>
      </c>
      <c r="AB231">
        <v>10.6</v>
      </c>
      <c r="AC231">
        <v>13.44</v>
      </c>
      <c r="AD231" s="2">
        <v>218.98</v>
      </c>
      <c r="AE231">
        <v>469.6</v>
      </c>
      <c r="AF231">
        <v>68.2</v>
      </c>
      <c r="AG231">
        <v>469.6</v>
      </c>
      <c r="AH231">
        <v>68.2</v>
      </c>
      <c r="AI231">
        <v>0</v>
      </c>
      <c r="AJ231">
        <v>7.92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688.58</v>
      </c>
      <c r="AR231">
        <v>8588.8700000000008</v>
      </c>
      <c r="AS231">
        <v>3237.48</v>
      </c>
      <c r="AT231">
        <v>0</v>
      </c>
      <c r="AU231">
        <v>5351.39</v>
      </c>
      <c r="AV231">
        <v>62.31</v>
      </c>
    </row>
    <row r="232" spans="1:48" hidden="1" x14ac:dyDescent="0.2">
      <c r="A232">
        <v>102</v>
      </c>
      <c r="B232" t="s">
        <v>603</v>
      </c>
      <c r="C232" t="s">
        <v>604</v>
      </c>
      <c r="D232" t="s">
        <v>605</v>
      </c>
      <c r="E232" t="s">
        <v>606</v>
      </c>
      <c r="F232">
        <v>45</v>
      </c>
      <c r="G232" t="s">
        <v>651</v>
      </c>
      <c r="H232" t="s">
        <v>68</v>
      </c>
      <c r="I232" t="s">
        <v>69</v>
      </c>
      <c r="J232" s="2" t="s">
        <v>656</v>
      </c>
      <c r="K232" t="s">
        <v>657</v>
      </c>
      <c r="L232" s="2" t="s">
        <v>86</v>
      </c>
      <c r="M232" s="1">
        <v>45888</v>
      </c>
      <c r="N232" s="1">
        <v>46027</v>
      </c>
      <c r="O232" s="1">
        <v>46022</v>
      </c>
      <c r="Q232">
        <v>0</v>
      </c>
      <c r="R232">
        <v>0</v>
      </c>
      <c r="S232">
        <v>0</v>
      </c>
      <c r="T232" s="2">
        <v>0</v>
      </c>
      <c r="U232" s="2">
        <v>0</v>
      </c>
      <c r="V232" s="2">
        <v>0</v>
      </c>
      <c r="W232" s="2">
        <v>72.290000000000006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 s="2">
        <v>0</v>
      </c>
      <c r="AE232">
        <v>72.290000000000006</v>
      </c>
      <c r="AF232">
        <v>100</v>
      </c>
      <c r="AG232">
        <v>72.290000000000006</v>
      </c>
      <c r="AH232">
        <v>100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72.290000000000006</v>
      </c>
      <c r="AR232">
        <v>72.290000000000006</v>
      </c>
      <c r="AS232">
        <v>46.09</v>
      </c>
      <c r="AT232">
        <v>0</v>
      </c>
      <c r="AU232">
        <v>26.2</v>
      </c>
      <c r="AV232">
        <v>36.24</v>
      </c>
    </row>
    <row r="233" spans="1:48" hidden="1" x14ac:dyDescent="0.2">
      <c r="A233">
        <v>102</v>
      </c>
      <c r="B233" t="s">
        <v>603</v>
      </c>
      <c r="C233" t="s">
        <v>604</v>
      </c>
      <c r="D233" t="s">
        <v>605</v>
      </c>
      <c r="E233" t="s">
        <v>606</v>
      </c>
      <c r="F233">
        <v>95</v>
      </c>
      <c r="G233" t="s">
        <v>658</v>
      </c>
      <c r="H233" t="s">
        <v>137</v>
      </c>
      <c r="I233" t="s">
        <v>60</v>
      </c>
      <c r="J233" s="2" t="s">
        <v>659</v>
      </c>
      <c r="K233" t="s">
        <v>660</v>
      </c>
      <c r="L233" s="2" t="s">
        <v>63</v>
      </c>
      <c r="M233" s="1">
        <v>45108</v>
      </c>
      <c r="N233" t="s">
        <v>64</v>
      </c>
      <c r="O233" s="1">
        <v>46024</v>
      </c>
      <c r="P233" t="s">
        <v>65</v>
      </c>
      <c r="Q233">
        <v>109173.6</v>
      </c>
      <c r="R233">
        <v>14306.28</v>
      </c>
      <c r="S233">
        <v>0</v>
      </c>
      <c r="T233" s="2">
        <v>0</v>
      </c>
      <c r="U233" s="2">
        <v>0</v>
      </c>
      <c r="V233" s="2">
        <v>0</v>
      </c>
      <c r="W233" s="2">
        <v>2274.4499999999998</v>
      </c>
      <c r="X233">
        <v>0</v>
      </c>
      <c r="Y233">
        <v>13.95</v>
      </c>
      <c r="Z233">
        <v>0</v>
      </c>
      <c r="AA233">
        <v>845.14</v>
      </c>
      <c r="AB233">
        <v>213.22</v>
      </c>
      <c r="AC233">
        <v>78.37</v>
      </c>
      <c r="AD233" s="2">
        <v>1150.68</v>
      </c>
      <c r="AE233">
        <v>1123.77</v>
      </c>
      <c r="AF233">
        <v>49.41</v>
      </c>
      <c r="AG233">
        <v>1123.77</v>
      </c>
      <c r="AH233">
        <v>49.41</v>
      </c>
      <c r="AI233">
        <v>0</v>
      </c>
      <c r="AJ233">
        <v>38.53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2274.4499999999998</v>
      </c>
      <c r="AR233">
        <v>67640.94</v>
      </c>
      <c r="AS233">
        <v>86395.72</v>
      </c>
      <c r="AT233">
        <v>0</v>
      </c>
      <c r="AU233">
        <v>-18754.78</v>
      </c>
      <c r="AV233">
        <v>-27.73</v>
      </c>
    </row>
    <row r="234" spans="1:48" hidden="1" x14ac:dyDescent="0.2">
      <c r="A234">
        <v>102</v>
      </c>
      <c r="B234" t="s">
        <v>603</v>
      </c>
      <c r="C234" t="s">
        <v>604</v>
      </c>
      <c r="D234" t="s">
        <v>605</v>
      </c>
      <c r="E234" t="s">
        <v>606</v>
      </c>
      <c r="F234">
        <v>95</v>
      </c>
      <c r="G234" t="s">
        <v>658</v>
      </c>
      <c r="H234" t="s">
        <v>59</v>
      </c>
      <c r="I234" t="s">
        <v>60</v>
      </c>
      <c r="J234" s="2" t="s">
        <v>661</v>
      </c>
      <c r="K234" t="s">
        <v>662</v>
      </c>
      <c r="L234" s="2" t="s">
        <v>63</v>
      </c>
      <c r="M234" s="1">
        <v>45658</v>
      </c>
      <c r="N234" t="s">
        <v>64</v>
      </c>
      <c r="O234" s="1">
        <v>46024</v>
      </c>
      <c r="P234" t="s">
        <v>65</v>
      </c>
      <c r="Q234">
        <v>8262.9599999999991</v>
      </c>
      <c r="R234">
        <v>5553.88</v>
      </c>
      <c r="S234">
        <v>0</v>
      </c>
      <c r="T234" s="2">
        <v>0</v>
      </c>
      <c r="U234" s="2">
        <v>0</v>
      </c>
      <c r="V234" s="2">
        <v>0</v>
      </c>
      <c r="W234" s="2">
        <v>688.58</v>
      </c>
      <c r="X234">
        <v>0</v>
      </c>
      <c r="Y234">
        <v>64.95</v>
      </c>
      <c r="Z234">
        <v>0</v>
      </c>
      <c r="AA234">
        <v>645.51</v>
      </c>
      <c r="AB234">
        <v>120.86</v>
      </c>
      <c r="AC234">
        <v>49.72</v>
      </c>
      <c r="AD234" s="2">
        <v>881.04</v>
      </c>
      <c r="AE234">
        <v>-192.46</v>
      </c>
      <c r="AF234">
        <v>-27.95</v>
      </c>
      <c r="AG234">
        <v>-192.46</v>
      </c>
      <c r="AH234">
        <v>-27.95</v>
      </c>
      <c r="AI234">
        <v>0</v>
      </c>
      <c r="AJ234">
        <v>27.72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688.58</v>
      </c>
      <c r="AR234">
        <v>8960.76</v>
      </c>
      <c r="AS234">
        <v>4775.08</v>
      </c>
      <c r="AT234">
        <v>0</v>
      </c>
      <c r="AU234">
        <v>4185.68</v>
      </c>
      <c r="AV234">
        <v>46.71</v>
      </c>
    </row>
    <row r="235" spans="1:48" hidden="1" x14ac:dyDescent="0.2">
      <c r="A235">
        <v>102</v>
      </c>
      <c r="B235" t="s">
        <v>603</v>
      </c>
      <c r="C235" t="s">
        <v>604</v>
      </c>
      <c r="D235" t="s">
        <v>605</v>
      </c>
      <c r="E235" t="s">
        <v>606</v>
      </c>
      <c r="F235">
        <v>95</v>
      </c>
      <c r="G235" t="s">
        <v>658</v>
      </c>
      <c r="H235" t="s">
        <v>137</v>
      </c>
      <c r="I235" t="s">
        <v>122</v>
      </c>
      <c r="J235" s="2" t="s">
        <v>663</v>
      </c>
      <c r="K235" t="s">
        <v>664</v>
      </c>
      <c r="L235" s="2" t="s">
        <v>86</v>
      </c>
      <c r="M235" s="1">
        <v>45992</v>
      </c>
      <c r="N235" s="1">
        <v>46020</v>
      </c>
      <c r="O235" s="1">
        <v>46020</v>
      </c>
      <c r="Q235">
        <v>773.6</v>
      </c>
      <c r="R235">
        <v>410.53</v>
      </c>
      <c r="S235">
        <v>0</v>
      </c>
      <c r="T235" s="2">
        <v>0</v>
      </c>
      <c r="U235" s="2">
        <v>0</v>
      </c>
      <c r="V235" s="2">
        <v>0</v>
      </c>
      <c r="W235" s="2">
        <v>773.6</v>
      </c>
      <c r="X235">
        <v>0</v>
      </c>
      <c r="Y235">
        <v>305.73</v>
      </c>
      <c r="Z235">
        <v>0</v>
      </c>
      <c r="AA235">
        <v>6.2</v>
      </c>
      <c r="AB235">
        <v>0</v>
      </c>
      <c r="AC235">
        <v>0.42</v>
      </c>
      <c r="AD235" s="2">
        <v>312.35000000000002</v>
      </c>
      <c r="AE235">
        <v>461.25</v>
      </c>
      <c r="AF235">
        <v>59.62</v>
      </c>
      <c r="AG235">
        <v>461.25</v>
      </c>
      <c r="AH235">
        <v>59.62</v>
      </c>
      <c r="AI235">
        <v>0</v>
      </c>
      <c r="AJ235">
        <v>0.25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773.6</v>
      </c>
      <c r="AR235">
        <v>773.6</v>
      </c>
      <c r="AS235">
        <v>312.35000000000002</v>
      </c>
      <c r="AT235">
        <v>0</v>
      </c>
      <c r="AU235">
        <v>461.25</v>
      </c>
      <c r="AV235">
        <v>59.62</v>
      </c>
    </row>
    <row r="236" spans="1:48" hidden="1" x14ac:dyDescent="0.2">
      <c r="A236">
        <v>102</v>
      </c>
      <c r="B236" t="s">
        <v>603</v>
      </c>
      <c r="C236" t="s">
        <v>604</v>
      </c>
      <c r="D236" t="s">
        <v>605</v>
      </c>
      <c r="E236" t="s">
        <v>606</v>
      </c>
      <c r="F236">
        <v>95</v>
      </c>
      <c r="G236" t="s">
        <v>658</v>
      </c>
      <c r="H236" t="s">
        <v>68</v>
      </c>
      <c r="I236" t="s">
        <v>122</v>
      </c>
      <c r="J236" s="2" t="s">
        <v>665</v>
      </c>
      <c r="K236" t="s">
        <v>666</v>
      </c>
      <c r="L236" s="2" t="s">
        <v>86</v>
      </c>
      <c r="M236" s="1">
        <v>45992</v>
      </c>
      <c r="N236" s="1">
        <v>46020</v>
      </c>
      <c r="O236" s="1">
        <v>46020</v>
      </c>
      <c r="Q236">
        <v>773.6</v>
      </c>
      <c r="R236">
        <v>410.53</v>
      </c>
      <c r="S236">
        <v>0</v>
      </c>
      <c r="T236" s="2">
        <v>0</v>
      </c>
      <c r="U236" s="2">
        <v>0</v>
      </c>
      <c r="V236" s="2">
        <v>0</v>
      </c>
      <c r="W236" s="2">
        <v>773.6</v>
      </c>
      <c r="X236">
        <v>0</v>
      </c>
      <c r="Y236">
        <v>555.75</v>
      </c>
      <c r="Z236">
        <v>0</v>
      </c>
      <c r="AA236">
        <v>75.17</v>
      </c>
      <c r="AB236">
        <v>18.14</v>
      </c>
      <c r="AC236">
        <v>6.16</v>
      </c>
      <c r="AD236" s="2">
        <v>655.22</v>
      </c>
      <c r="AE236">
        <v>118.38</v>
      </c>
      <c r="AF236">
        <v>15.3</v>
      </c>
      <c r="AG236">
        <v>118.38</v>
      </c>
      <c r="AH236">
        <v>15.3</v>
      </c>
      <c r="AI236">
        <v>0</v>
      </c>
      <c r="AJ236">
        <v>3.36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773.6</v>
      </c>
      <c r="AR236">
        <v>773.6</v>
      </c>
      <c r="AS236">
        <v>655.22</v>
      </c>
      <c r="AT236">
        <v>0</v>
      </c>
      <c r="AU236">
        <v>118.38</v>
      </c>
      <c r="AV236">
        <v>15.3</v>
      </c>
    </row>
    <row r="237" spans="1:48" hidden="1" x14ac:dyDescent="0.2">
      <c r="A237">
        <v>102</v>
      </c>
      <c r="B237" t="s">
        <v>603</v>
      </c>
      <c r="C237" t="s">
        <v>604</v>
      </c>
      <c r="D237" t="s">
        <v>605</v>
      </c>
      <c r="E237" t="s">
        <v>606</v>
      </c>
      <c r="F237">
        <v>95</v>
      </c>
      <c r="G237" t="s">
        <v>658</v>
      </c>
      <c r="H237" t="s">
        <v>68</v>
      </c>
      <c r="I237" t="s">
        <v>69</v>
      </c>
      <c r="J237" s="2" t="s">
        <v>667</v>
      </c>
      <c r="K237" t="s">
        <v>668</v>
      </c>
      <c r="L237" s="2" t="s">
        <v>86</v>
      </c>
      <c r="M237" s="1">
        <v>45694</v>
      </c>
      <c r="N237" s="1">
        <v>46027</v>
      </c>
      <c r="O237" s="1">
        <v>46022</v>
      </c>
      <c r="Q237">
        <v>0</v>
      </c>
      <c r="R237">
        <v>0</v>
      </c>
      <c r="S237">
        <v>0</v>
      </c>
      <c r="T237" s="2">
        <v>0</v>
      </c>
      <c r="U237" s="2">
        <v>0</v>
      </c>
      <c r="V237" s="2">
        <v>0</v>
      </c>
      <c r="W237" s="2">
        <v>177.35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 s="2">
        <v>0</v>
      </c>
      <c r="AE237">
        <v>177.35</v>
      </c>
      <c r="AF237">
        <v>100</v>
      </c>
      <c r="AG237">
        <v>177.35</v>
      </c>
      <c r="AH237">
        <v>100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177.35</v>
      </c>
      <c r="AR237">
        <v>177.35</v>
      </c>
      <c r="AS237">
        <v>81.91</v>
      </c>
      <c r="AT237">
        <v>0</v>
      </c>
      <c r="AU237">
        <v>95.44</v>
      </c>
      <c r="AV237">
        <v>53.81</v>
      </c>
    </row>
    <row r="238" spans="1:48" hidden="1" x14ac:dyDescent="0.2">
      <c r="A238">
        <v>102</v>
      </c>
      <c r="B238" t="s">
        <v>603</v>
      </c>
      <c r="C238" t="s">
        <v>604</v>
      </c>
      <c r="D238" t="s">
        <v>605</v>
      </c>
      <c r="E238" t="s">
        <v>606</v>
      </c>
      <c r="F238">
        <v>95</v>
      </c>
      <c r="G238" t="s">
        <v>658</v>
      </c>
      <c r="H238" t="s">
        <v>68</v>
      </c>
      <c r="I238" t="s">
        <v>69</v>
      </c>
      <c r="J238" s="2" t="s">
        <v>669</v>
      </c>
      <c r="K238" t="s">
        <v>670</v>
      </c>
      <c r="L238" s="2" t="s">
        <v>86</v>
      </c>
      <c r="M238" s="1">
        <v>45883</v>
      </c>
      <c r="N238" s="1">
        <v>45962</v>
      </c>
      <c r="O238" s="1">
        <v>46020</v>
      </c>
      <c r="Q238">
        <v>0</v>
      </c>
      <c r="R238">
        <v>0</v>
      </c>
      <c r="S238">
        <v>0</v>
      </c>
      <c r="T238" s="2">
        <v>0</v>
      </c>
      <c r="U238" s="2">
        <v>0</v>
      </c>
      <c r="V238" s="2">
        <v>0</v>
      </c>
      <c r="W238" s="2">
        <v>421.42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 s="2">
        <v>0</v>
      </c>
      <c r="AE238">
        <v>421.42</v>
      </c>
      <c r="AF238">
        <v>100</v>
      </c>
      <c r="AG238">
        <v>421.42</v>
      </c>
      <c r="AH238">
        <v>100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421.42</v>
      </c>
      <c r="AR238">
        <v>421.42</v>
      </c>
      <c r="AS238">
        <v>617.28</v>
      </c>
      <c r="AT238">
        <v>0</v>
      </c>
      <c r="AU238">
        <v>-195.86</v>
      </c>
      <c r="AV238">
        <v>-46.48</v>
      </c>
    </row>
    <row r="239" spans="1:48" hidden="1" x14ac:dyDescent="0.2">
      <c r="A239">
        <v>102</v>
      </c>
      <c r="B239" t="s">
        <v>603</v>
      </c>
      <c r="C239" t="s">
        <v>604</v>
      </c>
      <c r="D239" t="s">
        <v>605</v>
      </c>
      <c r="E239" t="s">
        <v>606</v>
      </c>
      <c r="F239">
        <v>95</v>
      </c>
      <c r="G239" t="s">
        <v>658</v>
      </c>
      <c r="H239" t="s">
        <v>68</v>
      </c>
      <c r="I239" t="s">
        <v>69</v>
      </c>
      <c r="J239" s="2" t="s">
        <v>671</v>
      </c>
      <c r="K239" t="s">
        <v>672</v>
      </c>
      <c r="L239" s="2" t="s">
        <v>86</v>
      </c>
      <c r="M239" s="1">
        <v>45945</v>
      </c>
      <c r="N239" s="1">
        <v>45963</v>
      </c>
      <c r="O239" s="1">
        <v>46020</v>
      </c>
      <c r="Q239">
        <v>0</v>
      </c>
      <c r="R239">
        <v>0</v>
      </c>
      <c r="S239">
        <v>0</v>
      </c>
      <c r="T239" s="2">
        <v>0</v>
      </c>
      <c r="U239" s="2">
        <v>0</v>
      </c>
      <c r="V239" s="2">
        <v>0</v>
      </c>
      <c r="W239" s="2">
        <v>479.52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 s="2">
        <v>0</v>
      </c>
      <c r="AE239">
        <v>479.52</v>
      </c>
      <c r="AF239">
        <v>100</v>
      </c>
      <c r="AG239">
        <v>479.52</v>
      </c>
      <c r="AH239">
        <v>100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479.52</v>
      </c>
      <c r="AR239">
        <v>479.52</v>
      </c>
      <c r="AS239">
        <v>313.89</v>
      </c>
      <c r="AT239">
        <v>0</v>
      </c>
      <c r="AU239">
        <v>165.63</v>
      </c>
      <c r="AV239">
        <v>34.54</v>
      </c>
    </row>
    <row r="240" spans="1:48" hidden="1" x14ac:dyDescent="0.2">
      <c r="A240">
        <v>102</v>
      </c>
      <c r="B240" t="s">
        <v>603</v>
      </c>
      <c r="C240" t="s">
        <v>604</v>
      </c>
      <c r="D240" t="s">
        <v>605</v>
      </c>
      <c r="E240" t="s">
        <v>606</v>
      </c>
      <c r="F240">
        <v>95</v>
      </c>
      <c r="G240" t="s">
        <v>658</v>
      </c>
      <c r="H240" t="s">
        <v>68</v>
      </c>
      <c r="I240" t="s">
        <v>69</v>
      </c>
      <c r="J240" s="2" t="s">
        <v>673</v>
      </c>
      <c r="K240" t="s">
        <v>674</v>
      </c>
      <c r="L240" s="2" t="s">
        <v>86</v>
      </c>
      <c r="M240" s="1">
        <v>45944</v>
      </c>
      <c r="N240" s="1">
        <v>45965</v>
      </c>
      <c r="O240" s="1">
        <v>46020</v>
      </c>
      <c r="Q240">
        <v>0</v>
      </c>
      <c r="R240">
        <v>0</v>
      </c>
      <c r="S240">
        <v>0</v>
      </c>
      <c r="T240" s="2">
        <v>0</v>
      </c>
      <c r="U240" s="2">
        <v>0</v>
      </c>
      <c r="V240" s="2">
        <v>0</v>
      </c>
      <c r="W240" s="2">
        <v>498.31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 s="2">
        <v>0</v>
      </c>
      <c r="AE240">
        <v>498.31</v>
      </c>
      <c r="AF240">
        <v>100</v>
      </c>
      <c r="AG240">
        <v>498.31</v>
      </c>
      <c r="AH240">
        <v>100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498.31</v>
      </c>
      <c r="AR240">
        <v>498.31</v>
      </c>
      <c r="AS240">
        <v>410.76</v>
      </c>
      <c r="AT240">
        <v>0</v>
      </c>
      <c r="AU240">
        <v>87.55</v>
      </c>
      <c r="AV240">
        <v>17.57</v>
      </c>
    </row>
    <row r="241" spans="1:48" hidden="1" x14ac:dyDescent="0.2">
      <c r="A241">
        <v>102</v>
      </c>
      <c r="B241" t="s">
        <v>603</v>
      </c>
      <c r="C241" t="s">
        <v>604</v>
      </c>
      <c r="D241" t="s">
        <v>605</v>
      </c>
      <c r="E241" t="s">
        <v>606</v>
      </c>
      <c r="F241">
        <v>95</v>
      </c>
      <c r="G241" t="s">
        <v>658</v>
      </c>
      <c r="H241" t="s">
        <v>68</v>
      </c>
      <c r="I241" t="s">
        <v>69</v>
      </c>
      <c r="J241" s="2" t="s">
        <v>675</v>
      </c>
      <c r="K241" t="s">
        <v>676</v>
      </c>
      <c r="L241" s="2" t="s">
        <v>86</v>
      </c>
      <c r="M241" s="1">
        <v>45968</v>
      </c>
      <c r="N241" s="1">
        <v>45978</v>
      </c>
      <c r="O241" s="1">
        <v>46020</v>
      </c>
      <c r="Q241">
        <v>0</v>
      </c>
      <c r="R241">
        <v>0</v>
      </c>
      <c r="S241">
        <v>0</v>
      </c>
      <c r="T241" s="2">
        <v>0</v>
      </c>
      <c r="U241" s="2">
        <v>0</v>
      </c>
      <c r="V241" s="2">
        <v>0</v>
      </c>
      <c r="W241" s="2">
        <v>126.53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 s="2">
        <v>0</v>
      </c>
      <c r="AE241">
        <v>126.53</v>
      </c>
      <c r="AF241">
        <v>100</v>
      </c>
      <c r="AG241">
        <v>126.53</v>
      </c>
      <c r="AH241">
        <v>100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126.53</v>
      </c>
      <c r="AR241">
        <v>126.53</v>
      </c>
      <c r="AS241">
        <v>92.74</v>
      </c>
      <c r="AT241">
        <v>0</v>
      </c>
      <c r="AU241">
        <v>33.79</v>
      </c>
      <c r="AV241">
        <v>26.71</v>
      </c>
    </row>
    <row r="242" spans="1:48" hidden="1" x14ac:dyDescent="0.2">
      <c r="A242">
        <v>102</v>
      </c>
      <c r="B242" t="s">
        <v>603</v>
      </c>
      <c r="C242" t="s">
        <v>604</v>
      </c>
      <c r="D242" t="s">
        <v>605</v>
      </c>
      <c r="E242" t="s">
        <v>606</v>
      </c>
      <c r="F242">
        <v>95</v>
      </c>
      <c r="G242" t="s">
        <v>658</v>
      </c>
      <c r="H242" t="s">
        <v>68</v>
      </c>
      <c r="I242" t="s">
        <v>69</v>
      </c>
      <c r="J242" s="2" t="s">
        <v>677</v>
      </c>
      <c r="K242" t="s">
        <v>678</v>
      </c>
      <c r="L242" s="2" t="s">
        <v>55</v>
      </c>
      <c r="M242" s="1">
        <v>45981</v>
      </c>
      <c r="N242" s="1">
        <v>45993</v>
      </c>
      <c r="O242" t="s">
        <v>64</v>
      </c>
      <c r="Q242">
        <v>0</v>
      </c>
      <c r="R242">
        <v>0</v>
      </c>
      <c r="S242">
        <v>0</v>
      </c>
      <c r="T242" s="2">
        <v>0</v>
      </c>
      <c r="U242" s="2">
        <v>0</v>
      </c>
      <c r="V242" s="2">
        <v>0</v>
      </c>
      <c r="W242" s="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 s="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405.24</v>
      </c>
      <c r="AT242">
        <v>0</v>
      </c>
      <c r="AU242">
        <v>-405.24</v>
      </c>
      <c r="AV242">
        <v>0</v>
      </c>
    </row>
    <row r="243" spans="1:48" hidden="1" x14ac:dyDescent="0.2">
      <c r="A243">
        <v>102</v>
      </c>
      <c r="B243" t="s">
        <v>603</v>
      </c>
      <c r="C243" t="s">
        <v>604</v>
      </c>
      <c r="D243" t="s">
        <v>605</v>
      </c>
      <c r="E243" t="s">
        <v>606</v>
      </c>
      <c r="F243">
        <v>95</v>
      </c>
      <c r="G243" t="s">
        <v>658</v>
      </c>
      <c r="H243" t="s">
        <v>68</v>
      </c>
      <c r="I243" t="s">
        <v>69</v>
      </c>
      <c r="J243" s="2" t="s">
        <v>679</v>
      </c>
      <c r="K243" t="s">
        <v>680</v>
      </c>
      <c r="L243" s="2" t="s">
        <v>86</v>
      </c>
      <c r="M243" s="1">
        <v>45986</v>
      </c>
      <c r="N243" s="1">
        <v>46010</v>
      </c>
      <c r="O243" t="s">
        <v>64</v>
      </c>
      <c r="Q243">
        <v>0</v>
      </c>
      <c r="R243">
        <v>0</v>
      </c>
      <c r="S243">
        <v>0</v>
      </c>
      <c r="T243" s="2">
        <v>0</v>
      </c>
      <c r="U243" s="2">
        <v>0</v>
      </c>
      <c r="V243" s="2">
        <v>0</v>
      </c>
      <c r="W243" s="2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 s="2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</row>
    <row r="244" spans="1:48" hidden="1" x14ac:dyDescent="0.2">
      <c r="A244">
        <v>102</v>
      </c>
      <c r="B244" t="s">
        <v>603</v>
      </c>
      <c r="C244" t="s">
        <v>604</v>
      </c>
      <c r="D244" t="s">
        <v>605</v>
      </c>
      <c r="E244" t="s">
        <v>606</v>
      </c>
      <c r="F244">
        <v>95</v>
      </c>
      <c r="G244" t="s">
        <v>658</v>
      </c>
      <c r="H244" t="s">
        <v>68</v>
      </c>
      <c r="I244" t="s">
        <v>69</v>
      </c>
      <c r="J244" s="2" t="s">
        <v>681</v>
      </c>
      <c r="K244" t="s">
        <v>682</v>
      </c>
      <c r="L244" s="2" t="s">
        <v>55</v>
      </c>
      <c r="M244" s="1">
        <v>46002</v>
      </c>
      <c r="N244" s="1">
        <v>46033</v>
      </c>
      <c r="O244" t="s">
        <v>64</v>
      </c>
      <c r="Q244">
        <v>0</v>
      </c>
      <c r="R244">
        <v>0</v>
      </c>
      <c r="S244">
        <v>0</v>
      </c>
      <c r="T244" s="2">
        <v>2923.41</v>
      </c>
      <c r="U244" s="2">
        <v>0</v>
      </c>
      <c r="V244" s="2">
        <v>0</v>
      </c>
      <c r="W244" s="2">
        <v>0</v>
      </c>
      <c r="X244">
        <v>0</v>
      </c>
      <c r="Y244">
        <v>818.45</v>
      </c>
      <c r="Z244">
        <v>0</v>
      </c>
      <c r="AA244">
        <v>253.58</v>
      </c>
      <c r="AB244">
        <v>59.04</v>
      </c>
      <c r="AC244">
        <v>26.42</v>
      </c>
      <c r="AD244" s="2">
        <v>1157.49</v>
      </c>
      <c r="AE244">
        <v>-1157.49</v>
      </c>
      <c r="AF244">
        <v>0</v>
      </c>
      <c r="AG244">
        <v>1765.92</v>
      </c>
      <c r="AH244">
        <v>60.41</v>
      </c>
      <c r="AI244">
        <v>0</v>
      </c>
      <c r="AJ244">
        <v>11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1157.49</v>
      </c>
      <c r="AT244">
        <v>0</v>
      </c>
      <c r="AU244">
        <v>-1157.49</v>
      </c>
      <c r="AV244">
        <v>0</v>
      </c>
    </row>
    <row r="245" spans="1:48" hidden="1" x14ac:dyDescent="0.2">
      <c r="A245">
        <v>102</v>
      </c>
      <c r="B245" t="s">
        <v>603</v>
      </c>
      <c r="C245" t="s">
        <v>604</v>
      </c>
      <c r="D245" t="s">
        <v>605</v>
      </c>
      <c r="E245" t="s">
        <v>606</v>
      </c>
      <c r="F245">
        <v>95</v>
      </c>
      <c r="G245" t="s">
        <v>658</v>
      </c>
      <c r="H245" t="s">
        <v>68</v>
      </c>
      <c r="I245" t="s">
        <v>69</v>
      </c>
      <c r="J245" s="2" t="s">
        <v>683</v>
      </c>
      <c r="K245" t="s">
        <v>684</v>
      </c>
      <c r="L245" s="2" t="s">
        <v>55</v>
      </c>
      <c r="M245" s="1">
        <v>46010</v>
      </c>
      <c r="N245" s="1">
        <v>46033</v>
      </c>
      <c r="O245" t="s">
        <v>64</v>
      </c>
      <c r="Q245">
        <v>0</v>
      </c>
      <c r="R245">
        <v>0</v>
      </c>
      <c r="S245">
        <v>0</v>
      </c>
      <c r="T245" s="2">
        <v>325.31</v>
      </c>
      <c r="U245" s="2">
        <v>0</v>
      </c>
      <c r="V245" s="2">
        <v>0</v>
      </c>
      <c r="W245" s="2">
        <v>0</v>
      </c>
      <c r="X245">
        <v>0</v>
      </c>
      <c r="Y245">
        <v>0</v>
      </c>
      <c r="Z245">
        <v>0</v>
      </c>
      <c r="AA245">
        <v>101.59</v>
      </c>
      <c r="AB245">
        <v>0</v>
      </c>
      <c r="AC245">
        <v>10.7</v>
      </c>
      <c r="AD245" s="2">
        <v>112.29</v>
      </c>
      <c r="AE245">
        <v>-112.29</v>
      </c>
      <c r="AF245">
        <v>0</v>
      </c>
      <c r="AG245">
        <v>213.02</v>
      </c>
      <c r="AH245">
        <v>65.48</v>
      </c>
      <c r="AI245">
        <v>0</v>
      </c>
      <c r="AJ245">
        <v>4.0999999999999996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112.29</v>
      </c>
      <c r="AT245">
        <v>0</v>
      </c>
      <c r="AU245">
        <v>-112.29</v>
      </c>
      <c r="AV245">
        <v>0</v>
      </c>
    </row>
    <row r="246" spans="1:48" hidden="1" x14ac:dyDescent="0.2">
      <c r="A246">
        <v>102</v>
      </c>
      <c r="B246" t="s">
        <v>603</v>
      </c>
      <c r="C246" t="s">
        <v>604</v>
      </c>
      <c r="D246" t="s">
        <v>605</v>
      </c>
      <c r="E246" t="s">
        <v>606</v>
      </c>
      <c r="F246">
        <v>95</v>
      </c>
      <c r="G246" t="s">
        <v>658</v>
      </c>
      <c r="H246" t="s">
        <v>68</v>
      </c>
      <c r="I246" t="s">
        <v>69</v>
      </c>
      <c r="J246" s="2" t="s">
        <v>685</v>
      </c>
      <c r="K246" t="s">
        <v>686</v>
      </c>
      <c r="L246" s="2" t="s">
        <v>63</v>
      </c>
      <c r="M246" s="1">
        <v>46014</v>
      </c>
      <c r="N246" t="s">
        <v>64</v>
      </c>
      <c r="O246" t="s">
        <v>64</v>
      </c>
      <c r="Q246">
        <v>0</v>
      </c>
      <c r="R246">
        <v>0</v>
      </c>
      <c r="S246">
        <v>0</v>
      </c>
      <c r="T246" s="2">
        <v>0</v>
      </c>
      <c r="U246" s="2">
        <v>0</v>
      </c>
      <c r="V246" s="2">
        <v>0</v>
      </c>
      <c r="W246" s="2">
        <v>0</v>
      </c>
      <c r="X246">
        <v>2839</v>
      </c>
      <c r="Y246">
        <v>0</v>
      </c>
      <c r="Z246">
        <v>0</v>
      </c>
      <c r="AA246">
        <v>0</v>
      </c>
      <c r="AB246">
        <v>0</v>
      </c>
      <c r="AC246">
        <v>0</v>
      </c>
      <c r="AD246" s="2">
        <v>0</v>
      </c>
      <c r="AE246">
        <v>0</v>
      </c>
      <c r="AF246">
        <v>0</v>
      </c>
      <c r="AG246">
        <v>-2839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</row>
    <row r="247" spans="1:48" hidden="1" x14ac:dyDescent="0.2">
      <c r="A247">
        <v>102</v>
      </c>
      <c r="B247" t="s">
        <v>603</v>
      </c>
      <c r="C247" t="s">
        <v>604</v>
      </c>
      <c r="D247" t="s">
        <v>605</v>
      </c>
      <c r="E247" t="s">
        <v>606</v>
      </c>
      <c r="F247">
        <v>122</v>
      </c>
      <c r="G247" t="s">
        <v>687</v>
      </c>
      <c r="H247" t="s">
        <v>51</v>
      </c>
      <c r="I247" t="s">
        <v>60</v>
      </c>
      <c r="J247" s="2" t="s">
        <v>688</v>
      </c>
      <c r="K247" t="s">
        <v>689</v>
      </c>
      <c r="L247" s="2" t="s">
        <v>55</v>
      </c>
      <c r="M247" s="1">
        <v>45180</v>
      </c>
      <c r="N247" s="1">
        <v>45916</v>
      </c>
      <c r="O247" t="s">
        <v>64</v>
      </c>
      <c r="P247" t="s">
        <v>635</v>
      </c>
      <c r="Q247">
        <v>0</v>
      </c>
      <c r="R247">
        <v>0</v>
      </c>
      <c r="S247">
        <v>0</v>
      </c>
      <c r="T247" s="2">
        <v>0</v>
      </c>
      <c r="U247" s="2">
        <v>0</v>
      </c>
      <c r="V247" s="2">
        <v>0</v>
      </c>
      <c r="W247" s="2">
        <v>888.96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 s="2">
        <v>0</v>
      </c>
      <c r="AE247">
        <v>888.96</v>
      </c>
      <c r="AF247">
        <v>100</v>
      </c>
      <c r="AG247">
        <v>888.96</v>
      </c>
      <c r="AH247">
        <v>100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888.96</v>
      </c>
      <c r="AR247">
        <v>18668.16</v>
      </c>
      <c r="AS247">
        <v>0</v>
      </c>
      <c r="AT247">
        <v>1720.32</v>
      </c>
      <c r="AU247">
        <v>16947.84</v>
      </c>
      <c r="AV247">
        <v>90.78</v>
      </c>
    </row>
    <row r="248" spans="1:48" hidden="1" x14ac:dyDescent="0.2">
      <c r="A248">
        <v>102</v>
      </c>
      <c r="B248" t="s">
        <v>603</v>
      </c>
      <c r="C248" t="s">
        <v>604</v>
      </c>
      <c r="D248" t="s">
        <v>605</v>
      </c>
      <c r="E248" t="s">
        <v>606</v>
      </c>
      <c r="F248">
        <v>122</v>
      </c>
      <c r="G248" t="s">
        <v>687</v>
      </c>
      <c r="H248" t="s">
        <v>137</v>
      </c>
      <c r="I248" t="s">
        <v>60</v>
      </c>
      <c r="J248" s="2" t="s">
        <v>690</v>
      </c>
      <c r="K248" t="s">
        <v>691</v>
      </c>
      <c r="L248" s="2" t="s">
        <v>63</v>
      </c>
      <c r="M248" s="1">
        <v>45904</v>
      </c>
      <c r="N248" t="s">
        <v>64</v>
      </c>
      <c r="O248" s="1">
        <v>46024</v>
      </c>
      <c r="P248" t="s">
        <v>65</v>
      </c>
      <c r="Q248">
        <v>30833.200000000001</v>
      </c>
      <c r="R248">
        <v>14563.98</v>
      </c>
      <c r="S248">
        <v>0</v>
      </c>
      <c r="T248" s="2">
        <v>0</v>
      </c>
      <c r="U248" s="2">
        <v>0</v>
      </c>
      <c r="V248" s="2">
        <v>0</v>
      </c>
      <c r="W248" s="2">
        <v>1541.66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 s="2">
        <v>0</v>
      </c>
      <c r="AE248">
        <v>1541.66</v>
      </c>
      <c r="AF248">
        <v>100</v>
      </c>
      <c r="AG248">
        <v>1541.66</v>
      </c>
      <c r="AH248">
        <v>100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1541.66</v>
      </c>
      <c r="AR248">
        <v>4624.9799999999996</v>
      </c>
      <c r="AS248">
        <v>2343.29</v>
      </c>
      <c r="AT248">
        <v>0</v>
      </c>
      <c r="AU248">
        <v>2281.69</v>
      </c>
      <c r="AV248">
        <v>49.33</v>
      </c>
    </row>
    <row r="249" spans="1:48" hidden="1" x14ac:dyDescent="0.2">
      <c r="A249">
        <v>102</v>
      </c>
      <c r="B249" t="s">
        <v>603</v>
      </c>
      <c r="C249" t="s">
        <v>604</v>
      </c>
      <c r="D249" t="s">
        <v>605</v>
      </c>
      <c r="E249" t="s">
        <v>606</v>
      </c>
      <c r="F249">
        <v>122</v>
      </c>
      <c r="G249" t="s">
        <v>687</v>
      </c>
      <c r="H249" t="s">
        <v>59</v>
      </c>
      <c r="I249" t="s">
        <v>60</v>
      </c>
      <c r="J249" s="2" t="s">
        <v>692</v>
      </c>
      <c r="K249" t="s">
        <v>693</v>
      </c>
      <c r="L249" s="2" t="s">
        <v>63</v>
      </c>
      <c r="M249" s="1">
        <v>45658</v>
      </c>
      <c r="N249" t="s">
        <v>64</v>
      </c>
      <c r="O249" s="1">
        <v>46024</v>
      </c>
      <c r="P249" t="s">
        <v>65</v>
      </c>
      <c r="Q249">
        <v>8262.9599999999991</v>
      </c>
      <c r="R249">
        <v>5721.38</v>
      </c>
      <c r="S249">
        <v>0</v>
      </c>
      <c r="T249" s="2">
        <v>0</v>
      </c>
      <c r="U249" s="2">
        <v>0</v>
      </c>
      <c r="V249" s="2">
        <v>0</v>
      </c>
      <c r="W249" s="2">
        <v>773.23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 s="2">
        <v>0</v>
      </c>
      <c r="AE249">
        <v>773.23</v>
      </c>
      <c r="AF249">
        <v>100</v>
      </c>
      <c r="AG249">
        <v>773.23</v>
      </c>
      <c r="AH249">
        <v>100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773.23</v>
      </c>
      <c r="AR249">
        <v>8347.61</v>
      </c>
      <c r="AS249">
        <v>3511.96</v>
      </c>
      <c r="AT249">
        <v>0</v>
      </c>
      <c r="AU249">
        <v>4835.6499999999996</v>
      </c>
      <c r="AV249">
        <v>57.93</v>
      </c>
    </row>
    <row r="250" spans="1:48" hidden="1" x14ac:dyDescent="0.2">
      <c r="A250">
        <v>102</v>
      </c>
      <c r="B250" t="s">
        <v>603</v>
      </c>
      <c r="C250" t="s">
        <v>604</v>
      </c>
      <c r="D250" t="s">
        <v>605</v>
      </c>
      <c r="E250" t="s">
        <v>606</v>
      </c>
      <c r="F250">
        <v>122</v>
      </c>
      <c r="G250" t="s">
        <v>687</v>
      </c>
      <c r="H250" t="s">
        <v>68</v>
      </c>
      <c r="I250" t="s">
        <v>69</v>
      </c>
      <c r="J250" s="2" t="s">
        <v>694</v>
      </c>
      <c r="K250" t="s">
        <v>695</v>
      </c>
      <c r="L250" s="2" t="s">
        <v>86</v>
      </c>
      <c r="M250" s="1">
        <v>45897</v>
      </c>
      <c r="N250" s="1">
        <v>45925</v>
      </c>
      <c r="O250" s="1">
        <v>45999</v>
      </c>
      <c r="Q250">
        <v>0</v>
      </c>
      <c r="R250">
        <v>0</v>
      </c>
      <c r="S250">
        <v>0</v>
      </c>
      <c r="T250" s="2">
        <v>0</v>
      </c>
      <c r="U250" s="2">
        <v>0</v>
      </c>
      <c r="V250" s="2">
        <v>0</v>
      </c>
      <c r="W250" s="2">
        <v>722.9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 s="2">
        <v>0</v>
      </c>
      <c r="AE250">
        <v>722.9</v>
      </c>
      <c r="AF250">
        <v>100</v>
      </c>
      <c r="AG250">
        <v>722.9</v>
      </c>
      <c r="AH250">
        <v>100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722.9</v>
      </c>
      <c r="AR250">
        <v>722.9</v>
      </c>
      <c r="AS250">
        <v>430.35</v>
      </c>
      <c r="AT250">
        <v>0</v>
      </c>
      <c r="AU250">
        <v>292.55</v>
      </c>
      <c r="AV250">
        <v>40.47</v>
      </c>
    </row>
    <row r="251" spans="1:48" hidden="1" x14ac:dyDescent="0.2">
      <c r="A251">
        <v>102</v>
      </c>
      <c r="B251" t="s">
        <v>603</v>
      </c>
      <c r="C251" t="s">
        <v>604</v>
      </c>
      <c r="D251" t="s">
        <v>605</v>
      </c>
      <c r="E251" t="s">
        <v>606</v>
      </c>
      <c r="F251">
        <v>122</v>
      </c>
      <c r="G251" t="s">
        <v>687</v>
      </c>
      <c r="H251" t="s">
        <v>68</v>
      </c>
      <c r="I251" t="s">
        <v>69</v>
      </c>
      <c r="J251" s="2" t="s">
        <v>696</v>
      </c>
      <c r="K251" t="s">
        <v>697</v>
      </c>
      <c r="L251" s="2" t="s">
        <v>86</v>
      </c>
      <c r="M251" s="1">
        <v>45946</v>
      </c>
      <c r="N251" s="1">
        <v>45964</v>
      </c>
      <c r="O251" s="1">
        <v>45999</v>
      </c>
      <c r="Q251">
        <v>0</v>
      </c>
      <c r="R251">
        <v>0</v>
      </c>
      <c r="S251">
        <v>0</v>
      </c>
      <c r="T251" s="2">
        <v>0</v>
      </c>
      <c r="U251" s="2">
        <v>0</v>
      </c>
      <c r="V251" s="2">
        <v>0</v>
      </c>
      <c r="W251" s="2">
        <v>194.28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 s="2">
        <v>0</v>
      </c>
      <c r="AE251">
        <v>194.28</v>
      </c>
      <c r="AF251">
        <v>100</v>
      </c>
      <c r="AG251">
        <v>194.28</v>
      </c>
      <c r="AH251">
        <v>100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194.28</v>
      </c>
      <c r="AR251">
        <v>194.28</v>
      </c>
      <c r="AS251">
        <v>90.31</v>
      </c>
      <c r="AT251">
        <v>0</v>
      </c>
      <c r="AU251">
        <v>103.97</v>
      </c>
      <c r="AV251">
        <v>53.52</v>
      </c>
    </row>
    <row r="252" spans="1:48" hidden="1" x14ac:dyDescent="0.2">
      <c r="A252">
        <v>102</v>
      </c>
      <c r="B252" t="s">
        <v>603</v>
      </c>
      <c r="C252" t="s">
        <v>604</v>
      </c>
      <c r="D252" t="s">
        <v>605</v>
      </c>
      <c r="E252" t="s">
        <v>606</v>
      </c>
      <c r="F252">
        <v>122</v>
      </c>
      <c r="G252" t="s">
        <v>687</v>
      </c>
      <c r="H252" t="s">
        <v>68</v>
      </c>
      <c r="I252" t="s">
        <v>69</v>
      </c>
      <c r="J252" s="2" t="s">
        <v>698</v>
      </c>
      <c r="K252" t="s">
        <v>699</v>
      </c>
      <c r="L252" s="2" t="s">
        <v>55</v>
      </c>
      <c r="M252" s="1">
        <v>45964</v>
      </c>
      <c r="N252" s="1">
        <v>46030</v>
      </c>
      <c r="O252" t="s">
        <v>64</v>
      </c>
      <c r="Q252">
        <v>0</v>
      </c>
      <c r="R252">
        <v>0</v>
      </c>
      <c r="S252">
        <v>0</v>
      </c>
      <c r="T252" s="2">
        <v>791.89</v>
      </c>
      <c r="U252" s="2">
        <v>0</v>
      </c>
      <c r="V252" s="2">
        <v>0</v>
      </c>
      <c r="W252" s="2">
        <v>0</v>
      </c>
      <c r="X252">
        <v>0</v>
      </c>
      <c r="Y252">
        <v>208.94</v>
      </c>
      <c r="Z252">
        <v>0</v>
      </c>
      <c r="AA252">
        <v>110.69</v>
      </c>
      <c r="AB252">
        <v>29.09</v>
      </c>
      <c r="AC252">
        <v>9.4700000000000006</v>
      </c>
      <c r="AD252" s="2">
        <v>358.19</v>
      </c>
      <c r="AE252">
        <v>-358.19</v>
      </c>
      <c r="AF252">
        <v>0</v>
      </c>
      <c r="AG252">
        <v>433.7</v>
      </c>
      <c r="AH252">
        <v>54.77</v>
      </c>
      <c r="AI252">
        <v>0</v>
      </c>
      <c r="AJ252">
        <v>5.2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454.2</v>
      </c>
      <c r="AT252">
        <v>0</v>
      </c>
      <c r="AU252">
        <v>-454.2</v>
      </c>
      <c r="AV252">
        <v>0</v>
      </c>
    </row>
    <row r="253" spans="1:48" hidden="1" x14ac:dyDescent="0.2">
      <c r="A253">
        <v>102</v>
      </c>
      <c r="B253" t="s">
        <v>603</v>
      </c>
      <c r="C253" t="s">
        <v>604</v>
      </c>
      <c r="D253" t="s">
        <v>605</v>
      </c>
      <c r="E253" t="s">
        <v>606</v>
      </c>
      <c r="F253">
        <v>122</v>
      </c>
      <c r="G253" t="s">
        <v>687</v>
      </c>
      <c r="H253" t="s">
        <v>68</v>
      </c>
      <c r="I253" t="s">
        <v>69</v>
      </c>
      <c r="J253" s="2" t="s">
        <v>700</v>
      </c>
      <c r="K253" t="s">
        <v>701</v>
      </c>
      <c r="L253" s="2" t="s">
        <v>86</v>
      </c>
      <c r="M253" s="1">
        <v>45980</v>
      </c>
      <c r="N253" s="1">
        <v>46027</v>
      </c>
      <c r="O253" s="1">
        <v>46022</v>
      </c>
      <c r="Q253">
        <v>0</v>
      </c>
      <c r="R253">
        <v>0</v>
      </c>
      <c r="S253">
        <v>0</v>
      </c>
      <c r="T253" s="2">
        <v>0</v>
      </c>
      <c r="U253" s="2">
        <v>0</v>
      </c>
      <c r="V253" s="2">
        <v>0</v>
      </c>
      <c r="W253" s="2">
        <v>108.44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 s="2">
        <v>0</v>
      </c>
      <c r="AE253">
        <v>108.44</v>
      </c>
      <c r="AF253">
        <v>100</v>
      </c>
      <c r="AG253">
        <v>108.44</v>
      </c>
      <c r="AH253">
        <v>100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108.44</v>
      </c>
      <c r="AR253">
        <v>108.44</v>
      </c>
      <c r="AS253">
        <v>69.099999999999994</v>
      </c>
      <c r="AT253">
        <v>0</v>
      </c>
      <c r="AU253">
        <v>39.340000000000003</v>
      </c>
      <c r="AV253">
        <v>36.28</v>
      </c>
    </row>
    <row r="254" spans="1:48" hidden="1" x14ac:dyDescent="0.2">
      <c r="A254">
        <v>102</v>
      </c>
      <c r="B254" t="s">
        <v>603</v>
      </c>
      <c r="C254" t="s">
        <v>604</v>
      </c>
      <c r="D254" t="s">
        <v>605</v>
      </c>
      <c r="E254" t="s">
        <v>606</v>
      </c>
      <c r="F254">
        <v>122</v>
      </c>
      <c r="G254" t="s">
        <v>687</v>
      </c>
      <c r="H254" t="s">
        <v>68</v>
      </c>
      <c r="I254" t="s">
        <v>69</v>
      </c>
      <c r="J254" s="2" t="s">
        <v>702</v>
      </c>
      <c r="K254" t="s">
        <v>703</v>
      </c>
      <c r="L254" s="2" t="s">
        <v>86</v>
      </c>
      <c r="M254" s="1">
        <v>45988</v>
      </c>
      <c r="N254" s="1">
        <v>45994</v>
      </c>
      <c r="O254" s="1">
        <v>46020</v>
      </c>
      <c r="Q254">
        <v>0</v>
      </c>
      <c r="R254">
        <v>0</v>
      </c>
      <c r="S254">
        <v>0</v>
      </c>
      <c r="T254" s="2">
        <v>0</v>
      </c>
      <c r="U254" s="2">
        <v>0</v>
      </c>
      <c r="V254" s="2">
        <v>0</v>
      </c>
      <c r="W254" s="2">
        <v>193.65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 s="2">
        <v>0</v>
      </c>
      <c r="AE254">
        <v>193.65</v>
      </c>
      <c r="AF254">
        <v>100</v>
      </c>
      <c r="AG254">
        <v>193.65</v>
      </c>
      <c r="AH254">
        <v>100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193.65</v>
      </c>
      <c r="AR254">
        <v>193.65</v>
      </c>
      <c r="AS254">
        <v>56.01</v>
      </c>
      <c r="AT254">
        <v>0</v>
      </c>
      <c r="AU254">
        <v>137.63999999999999</v>
      </c>
      <c r="AV254">
        <v>71.08</v>
      </c>
    </row>
    <row r="255" spans="1:48" hidden="1" x14ac:dyDescent="0.2">
      <c r="A255">
        <v>102</v>
      </c>
      <c r="B255" t="s">
        <v>603</v>
      </c>
      <c r="C255" t="s">
        <v>604</v>
      </c>
      <c r="D255" t="s">
        <v>605</v>
      </c>
      <c r="E255" t="s">
        <v>606</v>
      </c>
      <c r="F255">
        <v>122</v>
      </c>
      <c r="G255" t="s">
        <v>687</v>
      </c>
      <c r="H255" t="s">
        <v>68</v>
      </c>
      <c r="I255" t="s">
        <v>69</v>
      </c>
      <c r="J255" s="2" t="s">
        <v>704</v>
      </c>
      <c r="K255" t="s">
        <v>705</v>
      </c>
      <c r="L255" s="2" t="s">
        <v>86</v>
      </c>
      <c r="M255" s="1">
        <v>46003</v>
      </c>
      <c r="N255" s="1">
        <v>46009</v>
      </c>
      <c r="O255" t="s">
        <v>64</v>
      </c>
      <c r="Q255">
        <v>0</v>
      </c>
      <c r="R255">
        <v>0</v>
      </c>
      <c r="S255">
        <v>0</v>
      </c>
      <c r="T255" s="2">
        <v>0</v>
      </c>
      <c r="U255" s="2">
        <v>0</v>
      </c>
      <c r="V255" s="2">
        <v>0</v>
      </c>
      <c r="W255" s="2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 s="2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9.91</v>
      </c>
      <c r="AN255">
        <v>23.2</v>
      </c>
      <c r="AO255">
        <v>0.95</v>
      </c>
      <c r="AP255">
        <v>34.06</v>
      </c>
      <c r="AQ255">
        <v>0</v>
      </c>
      <c r="AR255">
        <v>0</v>
      </c>
      <c r="AS255">
        <v>0</v>
      </c>
      <c r="AT255">
        <v>34.06</v>
      </c>
      <c r="AU255">
        <v>-34.06</v>
      </c>
      <c r="AV255">
        <v>0</v>
      </c>
    </row>
    <row r="256" spans="1:48" hidden="1" x14ac:dyDescent="0.2">
      <c r="A256">
        <v>102</v>
      </c>
      <c r="B256" t="s">
        <v>603</v>
      </c>
      <c r="C256" t="s">
        <v>604</v>
      </c>
      <c r="D256" t="s">
        <v>605</v>
      </c>
      <c r="E256" t="s">
        <v>606</v>
      </c>
      <c r="F256">
        <v>122</v>
      </c>
      <c r="G256" t="s">
        <v>687</v>
      </c>
      <c r="H256" t="s">
        <v>68</v>
      </c>
      <c r="I256" t="s">
        <v>69</v>
      </c>
      <c r="J256" s="2" t="s">
        <v>706</v>
      </c>
      <c r="K256" t="s">
        <v>707</v>
      </c>
      <c r="L256" s="2" t="s">
        <v>55</v>
      </c>
      <c r="M256" s="1">
        <v>46005</v>
      </c>
      <c r="N256" s="1">
        <v>46030</v>
      </c>
      <c r="O256" t="s">
        <v>64</v>
      </c>
      <c r="Q256">
        <v>0</v>
      </c>
      <c r="R256">
        <v>0</v>
      </c>
      <c r="S256">
        <v>0</v>
      </c>
      <c r="T256" s="2">
        <v>879.2</v>
      </c>
      <c r="U256" s="2">
        <v>0</v>
      </c>
      <c r="V256" s="2">
        <v>0</v>
      </c>
      <c r="W256" s="2">
        <v>0</v>
      </c>
      <c r="X256">
        <v>0</v>
      </c>
      <c r="Y256">
        <v>254.02</v>
      </c>
      <c r="Z256">
        <v>0</v>
      </c>
      <c r="AA256">
        <v>131.33000000000001</v>
      </c>
      <c r="AB256">
        <v>12.04</v>
      </c>
      <c r="AC256">
        <v>7.94</v>
      </c>
      <c r="AD256" s="2">
        <v>405.33</v>
      </c>
      <c r="AE256">
        <v>-405.33</v>
      </c>
      <c r="AF256">
        <v>0</v>
      </c>
      <c r="AG256">
        <v>473.87</v>
      </c>
      <c r="AH256">
        <v>53.9</v>
      </c>
      <c r="AI256">
        <v>0</v>
      </c>
      <c r="AJ256">
        <v>5.45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405.33</v>
      </c>
      <c r="AT256">
        <v>0</v>
      </c>
      <c r="AU256">
        <v>-405.33</v>
      </c>
      <c r="AV256">
        <v>0</v>
      </c>
    </row>
    <row r="257" spans="1:48" hidden="1" x14ac:dyDescent="0.2">
      <c r="A257">
        <v>102</v>
      </c>
      <c r="B257" t="s">
        <v>603</v>
      </c>
      <c r="C257" t="s">
        <v>604</v>
      </c>
      <c r="D257" t="s">
        <v>605</v>
      </c>
      <c r="E257" t="s">
        <v>606</v>
      </c>
      <c r="F257">
        <v>122</v>
      </c>
      <c r="G257" t="s">
        <v>687</v>
      </c>
      <c r="H257" t="s">
        <v>68</v>
      </c>
      <c r="I257" t="s">
        <v>69</v>
      </c>
      <c r="J257" s="2" t="s">
        <v>708</v>
      </c>
      <c r="K257" t="s">
        <v>709</v>
      </c>
      <c r="L257" s="2" t="s">
        <v>55</v>
      </c>
      <c r="M257" s="1">
        <v>46006</v>
      </c>
      <c r="N257" s="1">
        <v>46030</v>
      </c>
      <c r="O257" t="s">
        <v>64</v>
      </c>
      <c r="Q257">
        <v>0</v>
      </c>
      <c r="R257">
        <v>0</v>
      </c>
      <c r="S257">
        <v>0</v>
      </c>
      <c r="T257" s="2">
        <v>108.43</v>
      </c>
      <c r="U257" s="2">
        <v>0</v>
      </c>
      <c r="V257" s="2">
        <v>0</v>
      </c>
      <c r="W257" s="2">
        <v>0</v>
      </c>
      <c r="X257">
        <v>0</v>
      </c>
      <c r="Y257">
        <v>0</v>
      </c>
      <c r="Z257">
        <v>0</v>
      </c>
      <c r="AA257">
        <v>33.04</v>
      </c>
      <c r="AB257">
        <v>20.28</v>
      </c>
      <c r="AC257">
        <v>1.91</v>
      </c>
      <c r="AD257" s="2">
        <v>55.23</v>
      </c>
      <c r="AE257">
        <v>-55.23</v>
      </c>
      <c r="AF257">
        <v>0</v>
      </c>
      <c r="AG257">
        <v>53.2</v>
      </c>
      <c r="AH257">
        <v>49.06</v>
      </c>
      <c r="AI257">
        <v>0</v>
      </c>
      <c r="AJ257">
        <v>1.33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55.23</v>
      </c>
      <c r="AT257">
        <v>0</v>
      </c>
      <c r="AU257">
        <v>-55.23</v>
      </c>
      <c r="AV257">
        <v>0</v>
      </c>
    </row>
    <row r="258" spans="1:48" hidden="1" x14ac:dyDescent="0.2">
      <c r="A258">
        <v>102</v>
      </c>
      <c r="B258" t="s">
        <v>603</v>
      </c>
      <c r="C258" t="s">
        <v>604</v>
      </c>
      <c r="D258" t="s">
        <v>605</v>
      </c>
      <c r="E258" t="s">
        <v>606</v>
      </c>
      <c r="F258">
        <v>119</v>
      </c>
      <c r="G258" t="s">
        <v>710</v>
      </c>
      <c r="H258" t="s">
        <v>59</v>
      </c>
      <c r="I258" t="s">
        <v>60</v>
      </c>
      <c r="J258" s="2" t="s">
        <v>711</v>
      </c>
      <c r="K258" t="s">
        <v>712</v>
      </c>
      <c r="L258" s="2" t="s">
        <v>63</v>
      </c>
      <c r="M258" s="1">
        <v>45658</v>
      </c>
      <c r="N258" t="s">
        <v>64</v>
      </c>
      <c r="O258" s="1">
        <v>46024</v>
      </c>
      <c r="P258" t="s">
        <v>65</v>
      </c>
      <c r="Q258">
        <v>8262.9599999999991</v>
      </c>
      <c r="R258">
        <v>5433.65</v>
      </c>
      <c r="S258">
        <v>0</v>
      </c>
      <c r="T258" s="2">
        <v>0</v>
      </c>
      <c r="U258" s="2">
        <v>0</v>
      </c>
      <c r="V258" s="2">
        <v>0</v>
      </c>
      <c r="W258" s="2">
        <v>688.58</v>
      </c>
      <c r="X258">
        <v>0</v>
      </c>
      <c r="Y258">
        <v>1148.3900000000001</v>
      </c>
      <c r="Z258">
        <v>0</v>
      </c>
      <c r="AA258">
        <v>1004</v>
      </c>
      <c r="AB258">
        <v>182.9</v>
      </c>
      <c r="AC258">
        <v>56.16</v>
      </c>
      <c r="AD258" s="2">
        <v>2391.4499999999998</v>
      </c>
      <c r="AE258">
        <v>-1702.87</v>
      </c>
      <c r="AF258">
        <v>-247.3</v>
      </c>
      <c r="AG258">
        <v>-1702.87</v>
      </c>
      <c r="AH258">
        <v>-247.3</v>
      </c>
      <c r="AI258">
        <v>0</v>
      </c>
      <c r="AJ258">
        <v>44.13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688.58</v>
      </c>
      <c r="AR258">
        <v>8945.84</v>
      </c>
      <c r="AS258">
        <v>8772.89</v>
      </c>
      <c r="AT258">
        <v>0</v>
      </c>
      <c r="AU258">
        <v>172.95</v>
      </c>
      <c r="AV258">
        <v>1.93</v>
      </c>
    </row>
    <row r="259" spans="1:48" hidden="1" x14ac:dyDescent="0.2">
      <c r="A259">
        <v>102</v>
      </c>
      <c r="B259" t="s">
        <v>603</v>
      </c>
      <c r="C259" t="s">
        <v>604</v>
      </c>
      <c r="D259" t="s">
        <v>605</v>
      </c>
      <c r="E259" t="s">
        <v>606</v>
      </c>
      <c r="F259">
        <v>119</v>
      </c>
      <c r="G259" t="s">
        <v>710</v>
      </c>
      <c r="H259" t="s">
        <v>68</v>
      </c>
      <c r="I259" t="s">
        <v>69</v>
      </c>
      <c r="J259" s="2" t="s">
        <v>713</v>
      </c>
      <c r="K259" t="s">
        <v>714</v>
      </c>
      <c r="L259" s="2" t="s">
        <v>86</v>
      </c>
      <c r="M259" s="1">
        <v>45965</v>
      </c>
      <c r="N259" s="1">
        <v>45992</v>
      </c>
      <c r="O259" s="1">
        <v>45999</v>
      </c>
      <c r="Q259">
        <v>0</v>
      </c>
      <c r="R259">
        <v>0</v>
      </c>
      <c r="S259">
        <v>0</v>
      </c>
      <c r="T259" s="2">
        <v>0</v>
      </c>
      <c r="U259" s="2">
        <v>0</v>
      </c>
      <c r="V259" s="2">
        <v>0</v>
      </c>
      <c r="W259" s="2">
        <v>299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 s="2">
        <v>0</v>
      </c>
      <c r="AE259">
        <v>299</v>
      </c>
      <c r="AF259">
        <v>100</v>
      </c>
      <c r="AG259">
        <v>299</v>
      </c>
      <c r="AH259">
        <v>100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299</v>
      </c>
      <c r="AR259">
        <v>299</v>
      </c>
      <c r="AS259">
        <v>168.23</v>
      </c>
      <c r="AT259">
        <v>0</v>
      </c>
      <c r="AU259">
        <v>130.77000000000001</v>
      </c>
      <c r="AV259">
        <v>43.74</v>
      </c>
    </row>
    <row r="260" spans="1:48" hidden="1" x14ac:dyDescent="0.2">
      <c r="A260">
        <v>102</v>
      </c>
      <c r="B260" t="s">
        <v>603</v>
      </c>
      <c r="C260" t="s">
        <v>604</v>
      </c>
      <c r="D260" t="s">
        <v>605</v>
      </c>
      <c r="E260" t="s">
        <v>606</v>
      </c>
      <c r="F260">
        <v>43</v>
      </c>
      <c r="G260" t="s">
        <v>715</v>
      </c>
      <c r="H260" t="s">
        <v>137</v>
      </c>
      <c r="I260" t="s">
        <v>60</v>
      </c>
      <c r="J260" s="2" t="s">
        <v>716</v>
      </c>
      <c r="K260" t="s">
        <v>717</v>
      </c>
      <c r="L260" s="2" t="s">
        <v>63</v>
      </c>
      <c r="M260" s="1">
        <v>45108</v>
      </c>
      <c r="N260" t="s">
        <v>64</v>
      </c>
      <c r="O260" s="1">
        <v>46024</v>
      </c>
      <c r="P260" t="s">
        <v>65</v>
      </c>
      <c r="Q260">
        <v>70356.479999999996</v>
      </c>
      <c r="R260">
        <v>18957.96</v>
      </c>
      <c r="S260">
        <v>0</v>
      </c>
      <c r="T260" s="2">
        <v>0</v>
      </c>
      <c r="U260" s="2">
        <v>0</v>
      </c>
      <c r="V260" s="2">
        <v>0</v>
      </c>
      <c r="W260" s="2">
        <v>6238.6</v>
      </c>
      <c r="X260">
        <v>0</v>
      </c>
      <c r="Y260">
        <v>1687.96</v>
      </c>
      <c r="Z260">
        <v>0</v>
      </c>
      <c r="AA260">
        <v>373.77</v>
      </c>
      <c r="AB260">
        <v>105.06</v>
      </c>
      <c r="AC260">
        <v>0</v>
      </c>
      <c r="AD260" s="2">
        <v>2166.79</v>
      </c>
      <c r="AE260">
        <v>4071.81</v>
      </c>
      <c r="AF260">
        <v>65.27</v>
      </c>
      <c r="AG260">
        <v>4071.81</v>
      </c>
      <c r="AH260">
        <v>65.27</v>
      </c>
      <c r="AI260">
        <v>0</v>
      </c>
      <c r="AJ260">
        <v>17.28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6238.6</v>
      </c>
      <c r="AR260">
        <v>137251.96</v>
      </c>
      <c r="AS260">
        <v>84707.74</v>
      </c>
      <c r="AT260">
        <v>0</v>
      </c>
      <c r="AU260">
        <v>52544.22</v>
      </c>
      <c r="AV260">
        <v>38.28</v>
      </c>
    </row>
    <row r="261" spans="1:48" hidden="1" x14ac:dyDescent="0.2">
      <c r="A261">
        <v>102</v>
      </c>
      <c r="B261" t="s">
        <v>603</v>
      </c>
      <c r="C261" t="s">
        <v>604</v>
      </c>
      <c r="D261" t="s">
        <v>605</v>
      </c>
      <c r="E261" t="s">
        <v>606</v>
      </c>
      <c r="F261">
        <v>223</v>
      </c>
      <c r="G261" t="s">
        <v>718</v>
      </c>
      <c r="H261" t="s">
        <v>137</v>
      </c>
      <c r="I261" t="s">
        <v>60</v>
      </c>
      <c r="J261" s="2" t="s">
        <v>719</v>
      </c>
      <c r="K261" t="s">
        <v>720</v>
      </c>
      <c r="L261" s="2" t="s">
        <v>63</v>
      </c>
      <c r="M261" s="1">
        <v>45108</v>
      </c>
      <c r="N261" t="s">
        <v>64</v>
      </c>
      <c r="O261" s="1">
        <v>46024</v>
      </c>
      <c r="P261" t="s">
        <v>65</v>
      </c>
      <c r="Q261">
        <v>56204.160000000003</v>
      </c>
      <c r="R261">
        <v>17516.13</v>
      </c>
      <c r="S261">
        <v>0</v>
      </c>
      <c r="T261" s="2">
        <v>0</v>
      </c>
      <c r="U261" s="2">
        <v>0</v>
      </c>
      <c r="V261" s="2">
        <v>0</v>
      </c>
      <c r="W261" s="2">
        <v>1170.92</v>
      </c>
      <c r="X261">
        <v>0</v>
      </c>
      <c r="Y261">
        <v>2028.06</v>
      </c>
      <c r="Z261">
        <v>0</v>
      </c>
      <c r="AA261">
        <v>542.71</v>
      </c>
      <c r="AB261">
        <v>1004.61</v>
      </c>
      <c r="AC261">
        <v>21.56</v>
      </c>
      <c r="AD261" s="2">
        <v>3596.94</v>
      </c>
      <c r="AE261">
        <v>-2426.02</v>
      </c>
      <c r="AF261">
        <v>-207.19</v>
      </c>
      <c r="AG261">
        <v>-2426.02</v>
      </c>
      <c r="AH261">
        <v>-207.19</v>
      </c>
      <c r="AI261">
        <v>0</v>
      </c>
      <c r="AJ261">
        <v>46.92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1170.92</v>
      </c>
      <c r="AR261">
        <v>185570.98</v>
      </c>
      <c r="AS261">
        <v>137345.92000000001</v>
      </c>
      <c r="AT261">
        <v>0</v>
      </c>
      <c r="AU261">
        <v>48225.06</v>
      </c>
      <c r="AV261">
        <v>25.99</v>
      </c>
    </row>
    <row r="262" spans="1:48" hidden="1" x14ac:dyDescent="0.2">
      <c r="A262">
        <v>102</v>
      </c>
      <c r="B262" t="s">
        <v>603</v>
      </c>
      <c r="C262" t="s">
        <v>604</v>
      </c>
      <c r="D262" t="s">
        <v>605</v>
      </c>
      <c r="E262" t="s">
        <v>606</v>
      </c>
      <c r="F262">
        <v>223</v>
      </c>
      <c r="G262" t="s">
        <v>718</v>
      </c>
      <c r="H262" t="s">
        <v>721</v>
      </c>
      <c r="I262" t="s">
        <v>122</v>
      </c>
      <c r="J262" s="2" t="s">
        <v>722</v>
      </c>
      <c r="K262" t="s">
        <v>723</v>
      </c>
      <c r="L262" s="2" t="s">
        <v>86</v>
      </c>
      <c r="M262" s="1">
        <v>45819</v>
      </c>
      <c r="N262" s="1">
        <v>45950</v>
      </c>
      <c r="O262" s="1">
        <v>45950</v>
      </c>
      <c r="Q262">
        <v>1116.49</v>
      </c>
      <c r="R262">
        <v>893.19</v>
      </c>
      <c r="S262">
        <v>0</v>
      </c>
      <c r="T262" s="2">
        <v>0</v>
      </c>
      <c r="U262" s="2">
        <v>0</v>
      </c>
      <c r="V262" s="2">
        <v>0</v>
      </c>
      <c r="W262" s="2">
        <v>0</v>
      </c>
      <c r="X262">
        <v>0</v>
      </c>
      <c r="Y262">
        <v>0</v>
      </c>
      <c r="Z262">
        <v>0</v>
      </c>
      <c r="AA262">
        <v>10.32</v>
      </c>
      <c r="AB262">
        <v>30.61</v>
      </c>
      <c r="AC262">
        <v>0</v>
      </c>
      <c r="AD262" s="2">
        <v>40.93</v>
      </c>
      <c r="AE262">
        <v>-40.93</v>
      </c>
      <c r="AF262">
        <v>0</v>
      </c>
      <c r="AG262">
        <v>-40.93</v>
      </c>
      <c r="AH262">
        <v>0</v>
      </c>
      <c r="AI262">
        <v>0</v>
      </c>
      <c r="AJ262">
        <v>1.1200000000000001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1116.49</v>
      </c>
      <c r="AS262">
        <v>965.8</v>
      </c>
      <c r="AT262">
        <v>0</v>
      </c>
      <c r="AU262">
        <v>150.69</v>
      </c>
      <c r="AV262">
        <v>13.5</v>
      </c>
    </row>
    <row r="263" spans="1:48" hidden="1" x14ac:dyDescent="0.2">
      <c r="A263">
        <v>102</v>
      </c>
      <c r="B263" t="s">
        <v>724</v>
      </c>
      <c r="C263" t="s">
        <v>725</v>
      </c>
      <c r="D263" t="s">
        <v>726</v>
      </c>
      <c r="E263" t="s">
        <v>727</v>
      </c>
      <c r="F263">
        <v>3283</v>
      </c>
      <c r="G263" t="s">
        <v>728</v>
      </c>
      <c r="H263" t="s">
        <v>68</v>
      </c>
      <c r="I263" t="s">
        <v>69</v>
      </c>
      <c r="J263" s="2" t="s">
        <v>729</v>
      </c>
      <c r="K263" t="s">
        <v>730</v>
      </c>
      <c r="L263" s="2" t="s">
        <v>86</v>
      </c>
      <c r="M263" s="1">
        <v>45960</v>
      </c>
      <c r="N263" s="1">
        <v>46002</v>
      </c>
      <c r="O263" s="1">
        <v>46002</v>
      </c>
      <c r="Q263">
        <v>0</v>
      </c>
      <c r="R263">
        <v>0</v>
      </c>
      <c r="S263">
        <v>0</v>
      </c>
      <c r="T263" s="2">
        <v>0</v>
      </c>
      <c r="U263" s="2">
        <v>0</v>
      </c>
      <c r="V263" s="2">
        <v>0</v>
      </c>
      <c r="W263" s="2">
        <v>940.04</v>
      </c>
      <c r="X263">
        <v>0</v>
      </c>
      <c r="Y263">
        <v>0</v>
      </c>
      <c r="Z263">
        <v>552.88</v>
      </c>
      <c r="AA263">
        <v>0</v>
      </c>
      <c r="AB263">
        <v>0</v>
      </c>
      <c r="AC263">
        <v>0</v>
      </c>
      <c r="AD263" s="2">
        <v>552.88</v>
      </c>
      <c r="AE263">
        <v>387.16</v>
      </c>
      <c r="AF263">
        <v>41.19</v>
      </c>
      <c r="AG263">
        <v>387.16</v>
      </c>
      <c r="AH263">
        <v>41.19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940.04</v>
      </c>
      <c r="AR263">
        <v>940.04</v>
      </c>
      <c r="AS263">
        <v>1146.48</v>
      </c>
      <c r="AT263">
        <v>0</v>
      </c>
      <c r="AU263">
        <v>-206.44</v>
      </c>
      <c r="AV263">
        <v>-21.96</v>
      </c>
    </row>
    <row r="264" spans="1:48" hidden="1" x14ac:dyDescent="0.2">
      <c r="A264">
        <v>102</v>
      </c>
      <c r="B264" t="s">
        <v>724</v>
      </c>
      <c r="C264" t="s">
        <v>725</v>
      </c>
      <c r="D264" t="s">
        <v>726</v>
      </c>
      <c r="E264" t="s">
        <v>727</v>
      </c>
      <c r="F264">
        <v>3283</v>
      </c>
      <c r="G264" t="s">
        <v>728</v>
      </c>
      <c r="H264" t="s">
        <v>68</v>
      </c>
      <c r="I264" t="s">
        <v>69</v>
      </c>
      <c r="J264" s="2" t="s">
        <v>731</v>
      </c>
      <c r="K264" t="s">
        <v>732</v>
      </c>
      <c r="L264" s="2" t="s">
        <v>86</v>
      </c>
      <c r="M264" s="1">
        <v>45983</v>
      </c>
      <c r="N264" s="1">
        <v>46002</v>
      </c>
      <c r="O264" s="1">
        <v>46002</v>
      </c>
      <c r="Q264">
        <v>0</v>
      </c>
      <c r="R264">
        <v>0</v>
      </c>
      <c r="S264">
        <v>0</v>
      </c>
      <c r="T264" s="2">
        <v>0</v>
      </c>
      <c r="U264" s="2">
        <v>0</v>
      </c>
      <c r="V264" s="2">
        <v>0</v>
      </c>
      <c r="W264" s="2">
        <v>936.43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 s="2">
        <v>0</v>
      </c>
      <c r="AE264">
        <v>936.43</v>
      </c>
      <c r="AF264">
        <v>100</v>
      </c>
      <c r="AG264">
        <v>936.43</v>
      </c>
      <c r="AH264">
        <v>100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936.43</v>
      </c>
      <c r="AR264">
        <v>936.43</v>
      </c>
      <c r="AS264">
        <v>548.4</v>
      </c>
      <c r="AT264">
        <v>0</v>
      </c>
      <c r="AU264">
        <v>388.03</v>
      </c>
      <c r="AV264">
        <v>41.44</v>
      </c>
    </row>
    <row r="265" spans="1:48" hidden="1" x14ac:dyDescent="0.2">
      <c r="A265">
        <v>102</v>
      </c>
      <c r="B265" t="s">
        <v>724</v>
      </c>
      <c r="C265" t="s">
        <v>725</v>
      </c>
      <c r="D265" t="s">
        <v>726</v>
      </c>
      <c r="E265" t="s">
        <v>727</v>
      </c>
      <c r="F265">
        <v>3288</v>
      </c>
      <c r="G265" t="s">
        <v>733</v>
      </c>
      <c r="H265" t="s">
        <v>51</v>
      </c>
      <c r="I265" t="s">
        <v>122</v>
      </c>
      <c r="J265" s="2" t="s">
        <v>734</v>
      </c>
      <c r="K265" t="s">
        <v>735</v>
      </c>
      <c r="L265" s="2" t="s">
        <v>86</v>
      </c>
      <c r="M265" s="1">
        <v>45965</v>
      </c>
      <c r="N265" s="1">
        <v>45991</v>
      </c>
      <c r="O265" s="1">
        <v>45991</v>
      </c>
      <c r="Q265">
        <v>9100</v>
      </c>
      <c r="R265">
        <v>7000</v>
      </c>
      <c r="S265">
        <v>0</v>
      </c>
      <c r="T265" s="2">
        <v>0</v>
      </c>
      <c r="U265" s="2">
        <v>0</v>
      </c>
      <c r="V265" s="2">
        <v>0</v>
      </c>
      <c r="W265" s="2">
        <v>0</v>
      </c>
      <c r="X265">
        <v>0</v>
      </c>
      <c r="Y265">
        <v>0</v>
      </c>
      <c r="Z265">
        <v>208.75</v>
      </c>
      <c r="AA265">
        <v>0</v>
      </c>
      <c r="AB265">
        <v>0</v>
      </c>
      <c r="AC265">
        <v>0</v>
      </c>
      <c r="AD265" s="2">
        <v>208.75</v>
      </c>
      <c r="AE265">
        <v>-208.75</v>
      </c>
      <c r="AF265">
        <v>0</v>
      </c>
      <c r="AG265">
        <v>-208.75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9100</v>
      </c>
      <c r="AS265">
        <v>6891.39</v>
      </c>
      <c r="AT265">
        <v>0</v>
      </c>
      <c r="AU265">
        <v>2208.61</v>
      </c>
      <c r="AV265">
        <v>24.27</v>
      </c>
    </row>
    <row r="266" spans="1:48" hidden="1" x14ac:dyDescent="0.2">
      <c r="A266">
        <v>102</v>
      </c>
      <c r="B266" t="s">
        <v>724</v>
      </c>
      <c r="C266" t="s">
        <v>725</v>
      </c>
      <c r="D266" t="s">
        <v>726</v>
      </c>
      <c r="E266" t="s">
        <v>727</v>
      </c>
      <c r="F266">
        <v>3288</v>
      </c>
      <c r="G266" t="s">
        <v>733</v>
      </c>
      <c r="H266" t="s">
        <v>68</v>
      </c>
      <c r="I266" t="s">
        <v>69</v>
      </c>
      <c r="J266" s="2" t="s">
        <v>736</v>
      </c>
      <c r="K266" t="s">
        <v>737</v>
      </c>
      <c r="L266" s="2" t="s">
        <v>86</v>
      </c>
      <c r="M266" s="1">
        <v>45986</v>
      </c>
      <c r="N266" s="1">
        <v>46002</v>
      </c>
      <c r="O266" s="1">
        <v>46002</v>
      </c>
      <c r="Q266">
        <v>0</v>
      </c>
      <c r="R266">
        <v>0</v>
      </c>
      <c r="S266">
        <v>0</v>
      </c>
      <c r="T266" s="2">
        <v>0</v>
      </c>
      <c r="U266" s="2">
        <v>0</v>
      </c>
      <c r="V266" s="2">
        <v>0</v>
      </c>
      <c r="W266" s="2">
        <v>130.75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 s="2">
        <v>0</v>
      </c>
      <c r="AE266">
        <v>130.75</v>
      </c>
      <c r="AF266">
        <v>100</v>
      </c>
      <c r="AG266">
        <v>130.75</v>
      </c>
      <c r="AH266">
        <v>100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130.75</v>
      </c>
      <c r="AR266">
        <v>130.75</v>
      </c>
      <c r="AS266">
        <v>124.14</v>
      </c>
      <c r="AT266">
        <v>0</v>
      </c>
      <c r="AU266">
        <v>6.61</v>
      </c>
      <c r="AV266">
        <v>5.0599999999999996</v>
      </c>
    </row>
    <row r="267" spans="1:48" hidden="1" x14ac:dyDescent="0.2">
      <c r="A267">
        <v>102</v>
      </c>
      <c r="B267" t="s">
        <v>724</v>
      </c>
      <c r="C267" t="s">
        <v>725</v>
      </c>
      <c r="D267" t="s">
        <v>726</v>
      </c>
      <c r="E267" t="s">
        <v>727</v>
      </c>
      <c r="F267">
        <v>3288</v>
      </c>
      <c r="G267" t="s">
        <v>733</v>
      </c>
      <c r="H267" t="s">
        <v>68</v>
      </c>
      <c r="I267" t="s">
        <v>69</v>
      </c>
      <c r="J267" s="2" t="s">
        <v>738</v>
      </c>
      <c r="K267" t="s">
        <v>739</v>
      </c>
      <c r="L267" s="2" t="s">
        <v>55</v>
      </c>
      <c r="M267" s="1">
        <v>45989</v>
      </c>
      <c r="N267" s="1">
        <v>46034</v>
      </c>
      <c r="O267" t="s">
        <v>64</v>
      </c>
      <c r="Q267">
        <v>0</v>
      </c>
      <c r="R267">
        <v>0</v>
      </c>
      <c r="S267">
        <v>0</v>
      </c>
      <c r="T267" s="2">
        <v>487.98</v>
      </c>
      <c r="U267" s="2">
        <v>0</v>
      </c>
      <c r="V267" s="2">
        <v>0</v>
      </c>
      <c r="W267" s="2">
        <v>0</v>
      </c>
      <c r="X267">
        <v>0</v>
      </c>
      <c r="Y267">
        <v>221.5</v>
      </c>
      <c r="Z267">
        <v>0</v>
      </c>
      <c r="AA267">
        <v>14.04</v>
      </c>
      <c r="AB267">
        <v>56.27</v>
      </c>
      <c r="AC267">
        <v>1.07</v>
      </c>
      <c r="AD267" s="2">
        <v>292.88</v>
      </c>
      <c r="AE267">
        <v>-292.88</v>
      </c>
      <c r="AF267">
        <v>0</v>
      </c>
      <c r="AG267">
        <v>195.1</v>
      </c>
      <c r="AH267">
        <v>39.979999999999997</v>
      </c>
      <c r="AI267">
        <v>0</v>
      </c>
      <c r="AJ267">
        <v>1.1200000000000001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292.88</v>
      </c>
      <c r="AT267">
        <v>0</v>
      </c>
      <c r="AU267">
        <v>-292.88</v>
      </c>
      <c r="AV267">
        <v>0</v>
      </c>
    </row>
    <row r="268" spans="1:48" hidden="1" x14ac:dyDescent="0.2">
      <c r="A268">
        <v>102</v>
      </c>
      <c r="B268" t="s">
        <v>740</v>
      </c>
      <c r="C268" t="s">
        <v>741</v>
      </c>
      <c r="D268" t="s">
        <v>742</v>
      </c>
      <c r="E268" t="s">
        <v>743</v>
      </c>
      <c r="F268">
        <v>2</v>
      </c>
      <c r="G268" t="s">
        <v>744</v>
      </c>
      <c r="H268" t="s">
        <v>68</v>
      </c>
      <c r="I268" t="s">
        <v>69</v>
      </c>
      <c r="J268" s="2" t="s">
        <v>745</v>
      </c>
      <c r="K268" t="s">
        <v>746</v>
      </c>
      <c r="L268" s="2" t="s">
        <v>86</v>
      </c>
      <c r="M268" s="1">
        <v>45993</v>
      </c>
      <c r="N268" s="1">
        <v>46029</v>
      </c>
      <c r="O268" s="1">
        <v>46022</v>
      </c>
      <c r="Q268">
        <v>0</v>
      </c>
      <c r="R268">
        <v>0</v>
      </c>
      <c r="S268">
        <v>0</v>
      </c>
      <c r="T268" s="2">
        <v>0</v>
      </c>
      <c r="U268" s="2">
        <v>0</v>
      </c>
      <c r="V268" s="2">
        <v>0</v>
      </c>
      <c r="W268" s="2">
        <v>108</v>
      </c>
      <c r="X268">
        <v>0</v>
      </c>
      <c r="Y268">
        <v>0</v>
      </c>
      <c r="Z268">
        <v>0</v>
      </c>
      <c r="AA268">
        <v>13.63</v>
      </c>
      <c r="AB268">
        <v>8.61</v>
      </c>
      <c r="AC268">
        <v>1.04</v>
      </c>
      <c r="AD268" s="2">
        <v>23.28</v>
      </c>
      <c r="AE268">
        <v>84.72</v>
      </c>
      <c r="AF268">
        <v>78.44</v>
      </c>
      <c r="AG268">
        <v>84.72</v>
      </c>
      <c r="AH268">
        <v>78.44</v>
      </c>
      <c r="AI268">
        <v>0</v>
      </c>
      <c r="AJ268">
        <v>0.67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108</v>
      </c>
      <c r="AR268">
        <v>108</v>
      </c>
      <c r="AS268">
        <v>23.28</v>
      </c>
      <c r="AT268">
        <v>0</v>
      </c>
      <c r="AU268">
        <v>84.72</v>
      </c>
      <c r="AV268">
        <v>78.44</v>
      </c>
    </row>
    <row r="269" spans="1:48" hidden="1" x14ac:dyDescent="0.2">
      <c r="A269">
        <v>102</v>
      </c>
      <c r="B269" t="s">
        <v>740</v>
      </c>
      <c r="C269" t="s">
        <v>741</v>
      </c>
      <c r="D269" t="s">
        <v>742</v>
      </c>
      <c r="E269" t="s">
        <v>743</v>
      </c>
      <c r="F269">
        <v>2</v>
      </c>
      <c r="G269" t="s">
        <v>744</v>
      </c>
      <c r="H269" t="s">
        <v>490</v>
      </c>
      <c r="I269" t="s">
        <v>69</v>
      </c>
      <c r="J269" s="2" t="s">
        <v>747</v>
      </c>
      <c r="K269" t="s">
        <v>748</v>
      </c>
      <c r="L269" s="2" t="s">
        <v>86</v>
      </c>
      <c r="M269" s="1">
        <v>46012</v>
      </c>
      <c r="N269" s="1">
        <v>46029</v>
      </c>
      <c r="O269" s="1">
        <v>46022</v>
      </c>
      <c r="Q269">
        <v>0</v>
      </c>
      <c r="R269">
        <v>0</v>
      </c>
      <c r="S269">
        <v>0</v>
      </c>
      <c r="T269" s="2">
        <v>0</v>
      </c>
      <c r="U269" s="2">
        <v>0</v>
      </c>
      <c r="V269" s="2">
        <v>0</v>
      </c>
      <c r="W269" s="2">
        <v>472</v>
      </c>
      <c r="X269">
        <v>0</v>
      </c>
      <c r="Y269">
        <v>0</v>
      </c>
      <c r="Z269">
        <v>0</v>
      </c>
      <c r="AA269">
        <v>74.75</v>
      </c>
      <c r="AB269">
        <v>59.42</v>
      </c>
      <c r="AC269">
        <v>0</v>
      </c>
      <c r="AD269" s="2">
        <v>134.16999999999999</v>
      </c>
      <c r="AE269">
        <v>337.83</v>
      </c>
      <c r="AF269">
        <v>71.569999999999993</v>
      </c>
      <c r="AG269">
        <v>337.83</v>
      </c>
      <c r="AH269">
        <v>71.569999999999993</v>
      </c>
      <c r="AI269">
        <v>0</v>
      </c>
      <c r="AJ269">
        <v>4.6100000000000003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472</v>
      </c>
      <c r="AR269">
        <v>472</v>
      </c>
      <c r="AS269">
        <v>134.16999999999999</v>
      </c>
      <c r="AT269">
        <v>0</v>
      </c>
      <c r="AU269">
        <v>337.83</v>
      </c>
      <c r="AV269">
        <v>71.569999999999993</v>
      </c>
    </row>
    <row r="270" spans="1:48" hidden="1" x14ac:dyDescent="0.2">
      <c r="A270">
        <v>102</v>
      </c>
      <c r="B270" t="s">
        <v>740</v>
      </c>
      <c r="C270" t="s">
        <v>741</v>
      </c>
      <c r="D270" t="s">
        <v>742</v>
      </c>
      <c r="E270" t="s">
        <v>743</v>
      </c>
      <c r="F270">
        <v>2</v>
      </c>
      <c r="G270" t="s">
        <v>744</v>
      </c>
      <c r="H270" t="s">
        <v>68</v>
      </c>
      <c r="I270" t="s">
        <v>69</v>
      </c>
      <c r="J270" s="2" t="s">
        <v>749</v>
      </c>
      <c r="K270" t="s">
        <v>750</v>
      </c>
      <c r="L270" s="2" t="s">
        <v>86</v>
      </c>
      <c r="M270" s="1">
        <v>46000</v>
      </c>
      <c r="N270" s="1">
        <v>46035</v>
      </c>
      <c r="O270" s="1">
        <v>46022</v>
      </c>
      <c r="Q270">
        <v>0</v>
      </c>
      <c r="R270">
        <v>0</v>
      </c>
      <c r="S270">
        <v>0</v>
      </c>
      <c r="T270" s="2">
        <v>0</v>
      </c>
      <c r="U270" s="2">
        <v>0</v>
      </c>
      <c r="V270" s="2">
        <v>0</v>
      </c>
      <c r="W270" s="2">
        <v>189</v>
      </c>
      <c r="X270">
        <v>2.76</v>
      </c>
      <c r="Y270">
        <v>0</v>
      </c>
      <c r="Z270">
        <v>0</v>
      </c>
      <c r="AA270">
        <v>50.39</v>
      </c>
      <c r="AB270">
        <v>13.64</v>
      </c>
      <c r="AC270">
        <v>0</v>
      </c>
      <c r="AD270" s="2">
        <v>64.03</v>
      </c>
      <c r="AE270">
        <v>124.97</v>
      </c>
      <c r="AF270">
        <v>66.12</v>
      </c>
      <c r="AG270">
        <v>122.21</v>
      </c>
      <c r="AH270">
        <v>64.66</v>
      </c>
      <c r="AI270">
        <v>0</v>
      </c>
      <c r="AJ270">
        <v>2.21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189</v>
      </c>
      <c r="AR270">
        <v>189</v>
      </c>
      <c r="AS270">
        <v>64.03</v>
      </c>
      <c r="AT270">
        <v>0</v>
      </c>
      <c r="AU270">
        <v>124.97</v>
      </c>
      <c r="AV270">
        <v>66.12</v>
      </c>
    </row>
    <row r="271" spans="1:48" hidden="1" x14ac:dyDescent="0.2">
      <c r="A271">
        <v>102</v>
      </c>
      <c r="B271" t="s">
        <v>740</v>
      </c>
      <c r="C271" t="s">
        <v>741</v>
      </c>
      <c r="D271" t="s">
        <v>751</v>
      </c>
      <c r="E271" t="s">
        <v>752</v>
      </c>
      <c r="F271">
        <v>1</v>
      </c>
      <c r="G271" t="s">
        <v>753</v>
      </c>
      <c r="H271" t="s">
        <v>68</v>
      </c>
      <c r="I271" t="s">
        <v>69</v>
      </c>
      <c r="J271" s="2" t="s">
        <v>754</v>
      </c>
      <c r="K271" t="s">
        <v>755</v>
      </c>
      <c r="L271" s="2" t="s">
        <v>86</v>
      </c>
      <c r="M271" s="1">
        <v>45930</v>
      </c>
      <c r="N271" s="1">
        <v>46035</v>
      </c>
      <c r="O271" s="1">
        <v>46022</v>
      </c>
      <c r="Q271">
        <v>0</v>
      </c>
      <c r="R271">
        <v>0</v>
      </c>
      <c r="S271">
        <v>0</v>
      </c>
      <c r="T271" s="2">
        <v>0</v>
      </c>
      <c r="U271" s="2">
        <v>0</v>
      </c>
      <c r="V271" s="2">
        <v>0</v>
      </c>
      <c r="W271" s="2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 s="2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108</v>
      </c>
      <c r="AS271">
        <v>37</v>
      </c>
      <c r="AT271">
        <v>0</v>
      </c>
      <c r="AU271">
        <v>71</v>
      </c>
      <c r="AV271">
        <v>65.739999999999995</v>
      </c>
    </row>
    <row r="272" spans="1:48" hidden="1" x14ac:dyDescent="0.2">
      <c r="A272">
        <v>102</v>
      </c>
      <c r="B272" t="s">
        <v>740</v>
      </c>
      <c r="C272" t="s">
        <v>741</v>
      </c>
      <c r="D272" t="s">
        <v>751</v>
      </c>
      <c r="E272" t="s">
        <v>752</v>
      </c>
      <c r="F272">
        <v>1</v>
      </c>
      <c r="G272" t="s">
        <v>753</v>
      </c>
      <c r="H272" t="s">
        <v>68</v>
      </c>
      <c r="I272" t="s">
        <v>69</v>
      </c>
      <c r="J272" s="2" t="s">
        <v>756</v>
      </c>
      <c r="K272" t="s">
        <v>757</v>
      </c>
      <c r="L272" s="2" t="s">
        <v>86</v>
      </c>
      <c r="M272" s="1">
        <v>45936</v>
      </c>
      <c r="N272" s="1">
        <v>46035</v>
      </c>
      <c r="O272" s="1">
        <v>46022</v>
      </c>
      <c r="Q272">
        <v>0</v>
      </c>
      <c r="R272">
        <v>0</v>
      </c>
      <c r="S272">
        <v>0</v>
      </c>
      <c r="T272" s="2">
        <v>0</v>
      </c>
      <c r="U272" s="2">
        <v>0</v>
      </c>
      <c r="V272" s="2">
        <v>0</v>
      </c>
      <c r="W272" s="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 s="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233.85</v>
      </c>
      <c r="AS272">
        <v>78.42</v>
      </c>
      <c r="AT272">
        <v>0</v>
      </c>
      <c r="AU272">
        <v>155.43</v>
      </c>
      <c r="AV272">
        <v>66.47</v>
      </c>
    </row>
    <row r="273" spans="1:48" hidden="1" x14ac:dyDescent="0.2">
      <c r="A273">
        <v>102</v>
      </c>
      <c r="B273" t="s">
        <v>740</v>
      </c>
      <c r="C273" t="s">
        <v>741</v>
      </c>
      <c r="D273" t="s">
        <v>751</v>
      </c>
      <c r="E273" t="s">
        <v>752</v>
      </c>
      <c r="F273">
        <v>1</v>
      </c>
      <c r="G273" t="s">
        <v>753</v>
      </c>
      <c r="H273" t="s">
        <v>68</v>
      </c>
      <c r="I273" t="s">
        <v>69</v>
      </c>
      <c r="J273" s="2" t="s">
        <v>758</v>
      </c>
      <c r="K273" t="s">
        <v>759</v>
      </c>
      <c r="L273" s="2" t="s">
        <v>86</v>
      </c>
      <c r="M273" s="1">
        <v>45971</v>
      </c>
      <c r="N273" s="1">
        <v>46007</v>
      </c>
      <c r="O273" s="1">
        <v>46007</v>
      </c>
      <c r="Q273">
        <v>0</v>
      </c>
      <c r="R273">
        <v>0</v>
      </c>
      <c r="S273">
        <v>0</v>
      </c>
      <c r="T273" s="2">
        <v>0</v>
      </c>
      <c r="U273" s="2">
        <v>0</v>
      </c>
      <c r="V273" s="2">
        <v>0</v>
      </c>
      <c r="W273" s="2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 s="2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162</v>
      </c>
      <c r="AS273">
        <v>58.88</v>
      </c>
      <c r="AT273">
        <v>0</v>
      </c>
      <c r="AU273">
        <v>103.12</v>
      </c>
      <c r="AV273">
        <v>63.65</v>
      </c>
    </row>
    <row r="274" spans="1:48" hidden="1" x14ac:dyDescent="0.2">
      <c r="A274">
        <v>102</v>
      </c>
      <c r="B274" t="s">
        <v>740</v>
      </c>
      <c r="C274" t="s">
        <v>741</v>
      </c>
      <c r="D274" t="s">
        <v>751</v>
      </c>
      <c r="E274" t="s">
        <v>752</v>
      </c>
      <c r="F274">
        <v>1</v>
      </c>
      <c r="G274" t="s">
        <v>753</v>
      </c>
      <c r="H274" t="s">
        <v>68</v>
      </c>
      <c r="I274" t="s">
        <v>69</v>
      </c>
      <c r="J274" s="2" t="s">
        <v>760</v>
      </c>
      <c r="K274" t="s">
        <v>761</v>
      </c>
      <c r="L274" s="2" t="s">
        <v>86</v>
      </c>
      <c r="M274" s="1">
        <v>45993</v>
      </c>
      <c r="N274" s="1">
        <v>46029</v>
      </c>
      <c r="O274" s="1">
        <v>46022</v>
      </c>
      <c r="Q274">
        <v>0</v>
      </c>
      <c r="R274">
        <v>0</v>
      </c>
      <c r="S274">
        <v>0</v>
      </c>
      <c r="T274" s="2">
        <v>0</v>
      </c>
      <c r="U274" s="2">
        <v>0</v>
      </c>
      <c r="V274" s="2">
        <v>0</v>
      </c>
      <c r="W274" s="2">
        <v>270</v>
      </c>
      <c r="X274">
        <v>0</v>
      </c>
      <c r="Y274">
        <v>0</v>
      </c>
      <c r="Z274">
        <v>0</v>
      </c>
      <c r="AA274">
        <v>55.34</v>
      </c>
      <c r="AB274">
        <v>22.77</v>
      </c>
      <c r="AC274">
        <v>3.36</v>
      </c>
      <c r="AD274" s="2">
        <v>81.47</v>
      </c>
      <c r="AE274">
        <v>188.53</v>
      </c>
      <c r="AF274">
        <v>69.83</v>
      </c>
      <c r="AG274">
        <v>188.53</v>
      </c>
      <c r="AH274">
        <v>69.83</v>
      </c>
      <c r="AI274">
        <v>0</v>
      </c>
      <c r="AJ274">
        <v>2.2599999999999998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270</v>
      </c>
      <c r="AR274">
        <v>270</v>
      </c>
      <c r="AS274">
        <v>81.47</v>
      </c>
      <c r="AT274">
        <v>0</v>
      </c>
      <c r="AU274">
        <v>188.53</v>
      </c>
      <c r="AV274">
        <v>69.83</v>
      </c>
    </row>
    <row r="275" spans="1:48" hidden="1" x14ac:dyDescent="0.2">
      <c r="A275">
        <v>102</v>
      </c>
      <c r="B275" t="s">
        <v>740</v>
      </c>
      <c r="C275" t="s">
        <v>741</v>
      </c>
      <c r="D275" t="s">
        <v>751</v>
      </c>
      <c r="E275" t="s">
        <v>752</v>
      </c>
      <c r="F275">
        <v>1</v>
      </c>
      <c r="G275" t="s">
        <v>753</v>
      </c>
      <c r="H275" t="s">
        <v>68</v>
      </c>
      <c r="I275" t="s">
        <v>69</v>
      </c>
      <c r="J275" s="2" t="s">
        <v>762</v>
      </c>
      <c r="K275" t="s">
        <v>763</v>
      </c>
      <c r="L275" s="2" t="s">
        <v>86</v>
      </c>
      <c r="M275" s="1">
        <v>45999</v>
      </c>
      <c r="N275" s="1">
        <v>46029</v>
      </c>
      <c r="O275" s="1">
        <v>46022</v>
      </c>
      <c r="Q275">
        <v>0</v>
      </c>
      <c r="R275">
        <v>0</v>
      </c>
      <c r="S275">
        <v>0</v>
      </c>
      <c r="T275" s="2">
        <v>0</v>
      </c>
      <c r="U275" s="2">
        <v>0</v>
      </c>
      <c r="V275" s="2">
        <v>0</v>
      </c>
      <c r="W275" s="2">
        <v>162</v>
      </c>
      <c r="X275">
        <v>0</v>
      </c>
      <c r="Y275">
        <v>0</v>
      </c>
      <c r="Z275">
        <v>0</v>
      </c>
      <c r="AA275">
        <v>39.65</v>
      </c>
      <c r="AB275">
        <v>14.21</v>
      </c>
      <c r="AC275">
        <v>2.4700000000000002</v>
      </c>
      <c r="AD275" s="2">
        <v>56.33</v>
      </c>
      <c r="AE275">
        <v>105.67</v>
      </c>
      <c r="AF275">
        <v>65.23</v>
      </c>
      <c r="AG275">
        <v>105.67</v>
      </c>
      <c r="AH275">
        <v>65.23</v>
      </c>
      <c r="AI275">
        <v>0</v>
      </c>
      <c r="AJ275">
        <v>1.82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162</v>
      </c>
      <c r="AR275">
        <v>162</v>
      </c>
      <c r="AS275">
        <v>56.33</v>
      </c>
      <c r="AT275">
        <v>0</v>
      </c>
      <c r="AU275">
        <v>105.67</v>
      </c>
      <c r="AV275">
        <v>65.23</v>
      </c>
    </row>
    <row r="276" spans="1:48" hidden="1" x14ac:dyDescent="0.2">
      <c r="A276">
        <v>102</v>
      </c>
      <c r="B276" t="s">
        <v>740</v>
      </c>
      <c r="C276" t="s">
        <v>741</v>
      </c>
      <c r="D276" t="s">
        <v>751</v>
      </c>
      <c r="E276" t="s">
        <v>752</v>
      </c>
      <c r="F276">
        <v>1</v>
      </c>
      <c r="G276" t="s">
        <v>753</v>
      </c>
      <c r="H276" t="s">
        <v>68</v>
      </c>
      <c r="I276" t="s">
        <v>69</v>
      </c>
      <c r="J276" s="2" t="s">
        <v>764</v>
      </c>
      <c r="K276" t="s">
        <v>765</v>
      </c>
      <c r="L276" s="2" t="s">
        <v>86</v>
      </c>
      <c r="M276" s="1">
        <v>46017</v>
      </c>
      <c r="N276" s="1">
        <v>46031</v>
      </c>
      <c r="O276" s="1">
        <v>46022</v>
      </c>
      <c r="Q276">
        <v>0</v>
      </c>
      <c r="R276">
        <v>0</v>
      </c>
      <c r="S276">
        <v>0</v>
      </c>
      <c r="T276" s="2">
        <v>0</v>
      </c>
      <c r="U276" s="2">
        <v>0</v>
      </c>
      <c r="V276" s="2">
        <v>0</v>
      </c>
      <c r="W276" s="2">
        <v>216</v>
      </c>
      <c r="X276">
        <v>0</v>
      </c>
      <c r="Y276">
        <v>0</v>
      </c>
      <c r="Z276">
        <v>0</v>
      </c>
      <c r="AA276">
        <v>72.69</v>
      </c>
      <c r="AB276">
        <v>30.7</v>
      </c>
      <c r="AC276">
        <v>4.8600000000000003</v>
      </c>
      <c r="AD276" s="2">
        <v>108.25</v>
      </c>
      <c r="AE276">
        <v>107.75</v>
      </c>
      <c r="AF276">
        <v>49.88</v>
      </c>
      <c r="AG276">
        <v>107.75</v>
      </c>
      <c r="AH276">
        <v>49.88</v>
      </c>
      <c r="AI276">
        <v>0</v>
      </c>
      <c r="AJ276">
        <v>3.7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216</v>
      </c>
      <c r="AR276">
        <v>216</v>
      </c>
      <c r="AS276">
        <v>108.25</v>
      </c>
      <c r="AT276">
        <v>0</v>
      </c>
      <c r="AU276">
        <v>107.75</v>
      </c>
      <c r="AV276">
        <v>49.88</v>
      </c>
    </row>
    <row r="277" spans="1:48" hidden="1" x14ac:dyDescent="0.2">
      <c r="A277">
        <v>102</v>
      </c>
      <c r="B277" t="s">
        <v>740</v>
      </c>
      <c r="C277" t="s">
        <v>741</v>
      </c>
      <c r="D277" t="s">
        <v>751</v>
      </c>
      <c r="E277" t="s">
        <v>752</v>
      </c>
      <c r="F277">
        <v>1</v>
      </c>
      <c r="G277" t="s">
        <v>753</v>
      </c>
      <c r="H277" t="s">
        <v>68</v>
      </c>
      <c r="I277" t="s">
        <v>69</v>
      </c>
      <c r="J277" s="2" t="s">
        <v>766</v>
      </c>
      <c r="K277" t="s">
        <v>767</v>
      </c>
      <c r="L277" s="2" t="s">
        <v>86</v>
      </c>
      <c r="M277" s="1">
        <v>46020</v>
      </c>
      <c r="N277" s="1">
        <v>46036</v>
      </c>
      <c r="O277" s="1">
        <v>46022</v>
      </c>
      <c r="Q277">
        <v>0</v>
      </c>
      <c r="R277">
        <v>0</v>
      </c>
      <c r="S277">
        <v>0</v>
      </c>
      <c r="T277" s="2">
        <v>0</v>
      </c>
      <c r="U277" s="2">
        <v>0</v>
      </c>
      <c r="V277" s="2">
        <v>0</v>
      </c>
      <c r="W277" s="2">
        <v>135</v>
      </c>
      <c r="X277">
        <v>0</v>
      </c>
      <c r="Y277">
        <v>0</v>
      </c>
      <c r="Z277">
        <v>0</v>
      </c>
      <c r="AA277">
        <v>31.8</v>
      </c>
      <c r="AB277">
        <v>11.43</v>
      </c>
      <c r="AC277">
        <v>2.66</v>
      </c>
      <c r="AD277" s="2">
        <v>45.89</v>
      </c>
      <c r="AE277">
        <v>89.11</v>
      </c>
      <c r="AF277">
        <v>66.010000000000005</v>
      </c>
      <c r="AG277">
        <v>89.11</v>
      </c>
      <c r="AH277">
        <v>66.010000000000005</v>
      </c>
      <c r="AI277">
        <v>0</v>
      </c>
      <c r="AJ277">
        <v>1.65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135</v>
      </c>
      <c r="AR277">
        <v>135</v>
      </c>
      <c r="AS277">
        <v>45.89</v>
      </c>
      <c r="AT277">
        <v>0</v>
      </c>
      <c r="AU277">
        <v>89.11</v>
      </c>
      <c r="AV277">
        <v>66.010000000000005</v>
      </c>
    </row>
    <row r="278" spans="1:48" hidden="1" x14ac:dyDescent="0.2">
      <c r="A278">
        <v>102</v>
      </c>
      <c r="B278" t="s">
        <v>768</v>
      </c>
      <c r="C278" t="s">
        <v>769</v>
      </c>
      <c r="D278" t="s">
        <v>770</v>
      </c>
      <c r="E278" t="s">
        <v>771</v>
      </c>
      <c r="F278">
        <v>1</v>
      </c>
      <c r="G278" t="s">
        <v>772</v>
      </c>
      <c r="H278" t="s">
        <v>137</v>
      </c>
      <c r="I278" t="s">
        <v>60</v>
      </c>
      <c r="J278" s="2" t="s">
        <v>773</v>
      </c>
      <c r="K278" t="s">
        <v>774</v>
      </c>
      <c r="L278" s="2" t="s">
        <v>63</v>
      </c>
      <c r="M278" s="1">
        <v>45717</v>
      </c>
      <c r="N278" t="s">
        <v>64</v>
      </c>
      <c r="O278" s="1">
        <v>45808</v>
      </c>
      <c r="P278" t="s">
        <v>65</v>
      </c>
      <c r="Q278">
        <v>5734.2</v>
      </c>
      <c r="R278">
        <v>4099.6000000000004</v>
      </c>
      <c r="S278">
        <v>0</v>
      </c>
      <c r="T278" s="2">
        <v>0</v>
      </c>
      <c r="U278" s="2">
        <v>0</v>
      </c>
      <c r="V278" s="2">
        <v>0</v>
      </c>
      <c r="W278" s="2">
        <v>0</v>
      </c>
      <c r="X278">
        <v>0</v>
      </c>
      <c r="Y278">
        <v>0</v>
      </c>
      <c r="Z278">
        <v>0</v>
      </c>
      <c r="AA278">
        <v>6.2</v>
      </c>
      <c r="AB278">
        <v>0</v>
      </c>
      <c r="AC278">
        <v>0.41</v>
      </c>
      <c r="AD278" s="2">
        <v>6.61</v>
      </c>
      <c r="AE278">
        <v>-6.61</v>
      </c>
      <c r="AF278">
        <v>0</v>
      </c>
      <c r="AG278">
        <v>-6.61</v>
      </c>
      <c r="AH278">
        <v>0</v>
      </c>
      <c r="AI278">
        <v>0</v>
      </c>
      <c r="AJ278">
        <v>0.25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2063.35</v>
      </c>
      <c r="AS278">
        <v>2166.25</v>
      </c>
      <c r="AT278">
        <v>0</v>
      </c>
      <c r="AU278">
        <v>-102.9</v>
      </c>
      <c r="AV278">
        <v>-4.99</v>
      </c>
    </row>
    <row r="279" spans="1:48" hidden="1" x14ac:dyDescent="0.2">
      <c r="A279">
        <v>102</v>
      </c>
      <c r="B279" t="s">
        <v>768</v>
      </c>
      <c r="C279" t="s">
        <v>769</v>
      </c>
      <c r="D279" t="s">
        <v>770</v>
      </c>
      <c r="E279" t="s">
        <v>771</v>
      </c>
      <c r="F279">
        <v>1</v>
      </c>
      <c r="G279" t="s">
        <v>772</v>
      </c>
      <c r="H279" t="s">
        <v>51</v>
      </c>
      <c r="I279" t="s">
        <v>60</v>
      </c>
      <c r="J279" s="2" t="s">
        <v>775</v>
      </c>
      <c r="K279" t="s">
        <v>776</v>
      </c>
      <c r="L279" s="2" t="s">
        <v>63</v>
      </c>
      <c r="M279" s="1">
        <v>45839</v>
      </c>
      <c r="N279" t="s">
        <v>64</v>
      </c>
      <c r="O279" t="s">
        <v>64</v>
      </c>
      <c r="P279" t="s">
        <v>635</v>
      </c>
      <c r="Q279">
        <v>0</v>
      </c>
      <c r="R279">
        <v>0</v>
      </c>
      <c r="S279">
        <v>0</v>
      </c>
      <c r="T279" s="2">
        <v>0</v>
      </c>
      <c r="U279" s="2">
        <v>0</v>
      </c>
      <c r="V279" s="2">
        <v>0</v>
      </c>
      <c r="W279" s="2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 s="2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16.52</v>
      </c>
      <c r="AN279">
        <v>0</v>
      </c>
      <c r="AO279">
        <v>1.08</v>
      </c>
      <c r="AP279">
        <v>17.600000000000001</v>
      </c>
      <c r="AQ279">
        <v>0</v>
      </c>
      <c r="AR279">
        <v>0</v>
      </c>
      <c r="AS279">
        <v>0</v>
      </c>
      <c r="AT279">
        <v>17.600000000000001</v>
      </c>
      <c r="AU279">
        <v>-17.600000000000001</v>
      </c>
      <c r="AV279">
        <v>0</v>
      </c>
    </row>
    <row r="280" spans="1:48" hidden="1" x14ac:dyDescent="0.2">
      <c r="A280">
        <v>102</v>
      </c>
      <c r="B280" t="s">
        <v>768</v>
      </c>
      <c r="C280" t="s">
        <v>769</v>
      </c>
      <c r="D280" t="s">
        <v>770</v>
      </c>
      <c r="E280" t="s">
        <v>771</v>
      </c>
      <c r="F280">
        <v>1</v>
      </c>
      <c r="G280" t="s">
        <v>772</v>
      </c>
      <c r="H280" t="s">
        <v>68</v>
      </c>
      <c r="I280" t="s">
        <v>69</v>
      </c>
      <c r="J280" s="2" t="s">
        <v>777</v>
      </c>
      <c r="K280" t="s">
        <v>778</v>
      </c>
      <c r="L280" s="2" t="s">
        <v>86</v>
      </c>
      <c r="M280" s="1">
        <v>46000</v>
      </c>
      <c r="N280" s="1">
        <v>46014</v>
      </c>
      <c r="O280" t="s">
        <v>64</v>
      </c>
      <c r="Q280">
        <v>0</v>
      </c>
      <c r="R280">
        <v>0</v>
      </c>
      <c r="S280">
        <v>0</v>
      </c>
      <c r="T280" s="2">
        <v>0</v>
      </c>
      <c r="U280" s="2">
        <v>0</v>
      </c>
      <c r="V280" s="2">
        <v>0</v>
      </c>
      <c r="W280" s="2">
        <v>0</v>
      </c>
      <c r="X280">
        <v>0</v>
      </c>
      <c r="Y280">
        <v>0</v>
      </c>
      <c r="Z280">
        <v>0</v>
      </c>
      <c r="AA280">
        <v>39.229999999999997</v>
      </c>
      <c r="AB280">
        <v>29.83</v>
      </c>
      <c r="AC280">
        <v>3.51</v>
      </c>
      <c r="AD280" s="2">
        <v>72.569999999999993</v>
      </c>
      <c r="AE280">
        <v>-72.569999999999993</v>
      </c>
      <c r="AF280">
        <v>0</v>
      </c>
      <c r="AG280">
        <v>-72.569999999999993</v>
      </c>
      <c r="AH280">
        <v>0</v>
      </c>
      <c r="AI280">
        <v>0</v>
      </c>
      <c r="AJ280">
        <v>2.56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72.569999999999993</v>
      </c>
      <c r="AT280">
        <v>0</v>
      </c>
      <c r="AU280">
        <v>-72.569999999999993</v>
      </c>
      <c r="AV280">
        <v>0</v>
      </c>
    </row>
    <row r="281" spans="1:48" hidden="1" x14ac:dyDescent="0.2">
      <c r="A281">
        <v>102</v>
      </c>
      <c r="B281" t="s">
        <v>768</v>
      </c>
      <c r="C281" t="s">
        <v>769</v>
      </c>
      <c r="D281" t="s">
        <v>770</v>
      </c>
      <c r="E281" t="s">
        <v>771</v>
      </c>
      <c r="F281">
        <v>1</v>
      </c>
      <c r="G281" t="s">
        <v>772</v>
      </c>
      <c r="H281" t="s">
        <v>68</v>
      </c>
      <c r="I281" t="s">
        <v>69</v>
      </c>
      <c r="J281" s="2" t="s">
        <v>779</v>
      </c>
      <c r="K281" t="s">
        <v>780</v>
      </c>
      <c r="L281" s="2" t="s">
        <v>86</v>
      </c>
      <c r="M281" s="1">
        <v>46001</v>
      </c>
      <c r="N281" s="1">
        <v>46029</v>
      </c>
      <c r="O281" t="s">
        <v>64</v>
      </c>
      <c r="Q281">
        <v>0</v>
      </c>
      <c r="R281">
        <v>0</v>
      </c>
      <c r="S281">
        <v>0</v>
      </c>
      <c r="T281" s="2">
        <v>0</v>
      </c>
      <c r="U281" s="2">
        <v>0</v>
      </c>
      <c r="V281" s="2">
        <v>0</v>
      </c>
      <c r="W281" s="2">
        <v>0</v>
      </c>
      <c r="X281">
        <v>1.56</v>
      </c>
      <c r="Y281">
        <v>0</v>
      </c>
      <c r="Z281">
        <v>0</v>
      </c>
      <c r="AA281">
        <v>28.5</v>
      </c>
      <c r="AB281">
        <v>7.66</v>
      </c>
      <c r="AC281">
        <v>0</v>
      </c>
      <c r="AD281" s="2">
        <v>36.159999999999997</v>
      </c>
      <c r="AE281">
        <v>-36.159999999999997</v>
      </c>
      <c r="AF281">
        <v>0</v>
      </c>
      <c r="AG281">
        <v>-37.72</v>
      </c>
      <c r="AH281">
        <v>0</v>
      </c>
      <c r="AI281">
        <v>0</v>
      </c>
      <c r="AJ281">
        <v>1.33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36.159999999999997</v>
      </c>
      <c r="AT281">
        <v>0</v>
      </c>
      <c r="AU281">
        <v>-36.159999999999997</v>
      </c>
      <c r="AV281">
        <v>0</v>
      </c>
    </row>
    <row r="282" spans="1:48" hidden="1" x14ac:dyDescent="0.2">
      <c r="A282">
        <v>102</v>
      </c>
      <c r="B282" t="s">
        <v>781</v>
      </c>
      <c r="C282" t="s">
        <v>782</v>
      </c>
      <c r="D282" t="s">
        <v>781</v>
      </c>
      <c r="E282" t="s">
        <v>782</v>
      </c>
      <c r="F282">
        <v>1</v>
      </c>
      <c r="G282" t="s">
        <v>783</v>
      </c>
      <c r="H282" t="s">
        <v>68</v>
      </c>
      <c r="I282" t="s">
        <v>69</v>
      </c>
      <c r="J282" s="2" t="s">
        <v>784</v>
      </c>
      <c r="K282" t="s">
        <v>785</v>
      </c>
      <c r="L282" s="2" t="s">
        <v>86</v>
      </c>
      <c r="M282" s="1">
        <v>45967</v>
      </c>
      <c r="N282" s="1">
        <v>45988</v>
      </c>
      <c r="O282" s="1">
        <v>46022</v>
      </c>
      <c r="Q282">
        <v>0</v>
      </c>
      <c r="R282">
        <v>0</v>
      </c>
      <c r="S282">
        <v>0</v>
      </c>
      <c r="T282" s="2">
        <v>0</v>
      </c>
      <c r="U282" s="2">
        <v>0</v>
      </c>
      <c r="V282" s="2">
        <v>0</v>
      </c>
      <c r="W282" s="2">
        <v>-164.7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 s="2">
        <v>0</v>
      </c>
      <c r="AE282">
        <v>-164.7</v>
      </c>
      <c r="AF282">
        <v>100</v>
      </c>
      <c r="AG282">
        <v>-164.7</v>
      </c>
      <c r="AH282">
        <v>100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-164.7</v>
      </c>
      <c r="AR282">
        <v>1743.11</v>
      </c>
      <c r="AS282">
        <v>872.95</v>
      </c>
      <c r="AT282">
        <v>0</v>
      </c>
      <c r="AU282">
        <v>870.16</v>
      </c>
      <c r="AV282">
        <v>49.92</v>
      </c>
    </row>
    <row r="283" spans="1:48" hidden="1" x14ac:dyDescent="0.2">
      <c r="A283">
        <v>102</v>
      </c>
      <c r="B283" t="s">
        <v>786</v>
      </c>
      <c r="C283" t="s">
        <v>787</v>
      </c>
      <c r="D283" t="s">
        <v>786</v>
      </c>
      <c r="E283" t="s">
        <v>787</v>
      </c>
      <c r="F283">
        <v>3</v>
      </c>
      <c r="G283" t="s">
        <v>788</v>
      </c>
      <c r="H283" t="s">
        <v>68</v>
      </c>
      <c r="I283" t="s">
        <v>69</v>
      </c>
      <c r="J283" s="2" t="s">
        <v>789</v>
      </c>
      <c r="K283" t="s">
        <v>790</v>
      </c>
      <c r="L283" s="2" t="s">
        <v>86</v>
      </c>
      <c r="M283" s="1">
        <v>45994</v>
      </c>
      <c r="N283" s="1">
        <v>46029</v>
      </c>
      <c r="O283" s="1">
        <v>46022</v>
      </c>
      <c r="Q283">
        <v>0</v>
      </c>
      <c r="R283">
        <v>0</v>
      </c>
      <c r="S283">
        <v>0</v>
      </c>
      <c r="T283" s="2">
        <v>0</v>
      </c>
      <c r="U283" s="2">
        <v>0</v>
      </c>
      <c r="V283" s="2">
        <v>0</v>
      </c>
      <c r="W283" s="2">
        <v>215.92</v>
      </c>
      <c r="X283">
        <v>0</v>
      </c>
      <c r="Y283">
        <v>0</v>
      </c>
      <c r="Z283">
        <v>0</v>
      </c>
      <c r="AA283">
        <v>95.82</v>
      </c>
      <c r="AB283">
        <v>34.22</v>
      </c>
      <c r="AC283">
        <v>7.16</v>
      </c>
      <c r="AD283" s="2">
        <v>137.19999999999999</v>
      </c>
      <c r="AE283">
        <v>78.72</v>
      </c>
      <c r="AF283">
        <v>36.46</v>
      </c>
      <c r="AG283">
        <v>78.72</v>
      </c>
      <c r="AH283">
        <v>36.46</v>
      </c>
      <c r="AI283">
        <v>0</v>
      </c>
      <c r="AJ283">
        <v>4.4400000000000004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215.92</v>
      </c>
      <c r="AR283">
        <v>215.92</v>
      </c>
      <c r="AS283">
        <v>137.19999999999999</v>
      </c>
      <c r="AT283">
        <v>0</v>
      </c>
      <c r="AU283">
        <v>78.72</v>
      </c>
      <c r="AV283">
        <v>36.46</v>
      </c>
    </row>
    <row r="284" spans="1:48" hidden="1" x14ac:dyDescent="0.2">
      <c r="A284">
        <v>102</v>
      </c>
      <c r="B284" t="s">
        <v>791</v>
      </c>
      <c r="C284" t="s">
        <v>792</v>
      </c>
      <c r="D284" t="s">
        <v>791</v>
      </c>
      <c r="E284" t="s">
        <v>792</v>
      </c>
      <c r="F284">
        <v>5</v>
      </c>
      <c r="G284" t="s">
        <v>793</v>
      </c>
      <c r="H284" t="s">
        <v>137</v>
      </c>
      <c r="I284" t="s">
        <v>60</v>
      </c>
      <c r="J284" s="2" t="s">
        <v>794</v>
      </c>
      <c r="K284" t="s">
        <v>795</v>
      </c>
      <c r="L284" s="2" t="s">
        <v>63</v>
      </c>
      <c r="M284" s="1">
        <v>45658</v>
      </c>
      <c r="N284" t="s">
        <v>64</v>
      </c>
      <c r="O284" s="1">
        <v>45657</v>
      </c>
      <c r="P284" t="s">
        <v>65</v>
      </c>
      <c r="Q284">
        <v>1072.6199999999999</v>
      </c>
      <c r="R284">
        <v>608.79999999999995</v>
      </c>
      <c r="S284">
        <v>0</v>
      </c>
      <c r="T284" s="2">
        <v>0</v>
      </c>
      <c r="U284" s="2">
        <v>0</v>
      </c>
      <c r="V284" s="2">
        <v>0</v>
      </c>
      <c r="W284" s="2">
        <v>0</v>
      </c>
      <c r="X284">
        <v>0</v>
      </c>
      <c r="Y284">
        <v>0</v>
      </c>
      <c r="Z284">
        <v>0</v>
      </c>
      <c r="AA284">
        <v>58.25</v>
      </c>
      <c r="AB284">
        <v>223.03</v>
      </c>
      <c r="AC284">
        <v>0</v>
      </c>
      <c r="AD284" s="2">
        <v>281.27999999999997</v>
      </c>
      <c r="AE284">
        <v>-281.27999999999997</v>
      </c>
      <c r="AF284">
        <v>0</v>
      </c>
      <c r="AG284">
        <v>-281.27999999999997</v>
      </c>
      <c r="AH284">
        <v>0</v>
      </c>
      <c r="AI284">
        <v>0</v>
      </c>
      <c r="AJ284">
        <v>7.58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330.61</v>
      </c>
      <c r="AT284">
        <v>0</v>
      </c>
      <c r="AU284">
        <v>-330.61</v>
      </c>
      <c r="AV284">
        <v>0</v>
      </c>
    </row>
    <row r="285" spans="1:48" hidden="1" x14ac:dyDescent="0.2">
      <c r="A285">
        <v>102</v>
      </c>
      <c r="B285" t="s">
        <v>796</v>
      </c>
      <c r="C285" t="s">
        <v>797</v>
      </c>
      <c r="D285" t="s">
        <v>796</v>
      </c>
      <c r="E285" t="s">
        <v>797</v>
      </c>
      <c r="F285">
        <v>12</v>
      </c>
      <c r="G285" t="s">
        <v>798</v>
      </c>
      <c r="H285" t="s">
        <v>68</v>
      </c>
      <c r="I285" t="s">
        <v>69</v>
      </c>
      <c r="J285" s="2" t="s">
        <v>799</v>
      </c>
      <c r="K285" t="s">
        <v>800</v>
      </c>
      <c r="L285" s="2" t="s">
        <v>86</v>
      </c>
      <c r="M285" s="1">
        <v>45954</v>
      </c>
      <c r="N285" s="1">
        <v>46014</v>
      </c>
      <c r="O285" s="1">
        <v>46009</v>
      </c>
      <c r="Q285">
        <v>0</v>
      </c>
      <c r="R285">
        <v>0</v>
      </c>
      <c r="S285">
        <v>0</v>
      </c>
      <c r="T285" s="2">
        <v>0</v>
      </c>
      <c r="U285" s="2">
        <v>0</v>
      </c>
      <c r="V285" s="2">
        <v>0</v>
      </c>
      <c r="W285" s="2">
        <v>-75.84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 s="2">
        <v>0</v>
      </c>
      <c r="AE285">
        <v>-75.84</v>
      </c>
      <c r="AF285">
        <v>100</v>
      </c>
      <c r="AG285">
        <v>-75.84</v>
      </c>
      <c r="AH285">
        <v>100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-75.84</v>
      </c>
      <c r="AR285">
        <v>356</v>
      </c>
      <c r="AS285">
        <v>202.7</v>
      </c>
      <c r="AT285">
        <v>0</v>
      </c>
      <c r="AU285">
        <v>153.30000000000001</v>
      </c>
      <c r="AV285">
        <v>43.06</v>
      </c>
    </row>
    <row r="286" spans="1:48" hidden="1" x14ac:dyDescent="0.2">
      <c r="A286">
        <v>102</v>
      </c>
      <c r="B286" t="s">
        <v>801</v>
      </c>
      <c r="C286" t="s">
        <v>802</v>
      </c>
      <c r="D286" t="s">
        <v>801</v>
      </c>
      <c r="E286" t="s">
        <v>802</v>
      </c>
      <c r="F286">
        <v>5</v>
      </c>
      <c r="G286" t="s">
        <v>803</v>
      </c>
      <c r="H286" t="s">
        <v>804</v>
      </c>
      <c r="I286" t="s">
        <v>69</v>
      </c>
      <c r="J286" s="2" t="s">
        <v>805</v>
      </c>
      <c r="K286" t="s">
        <v>806</v>
      </c>
      <c r="L286" s="2" t="s">
        <v>63</v>
      </c>
      <c r="M286" s="1">
        <v>46020</v>
      </c>
      <c r="N286" t="s">
        <v>64</v>
      </c>
      <c r="O286" t="s">
        <v>64</v>
      </c>
      <c r="Q286">
        <v>0</v>
      </c>
      <c r="R286">
        <v>0</v>
      </c>
      <c r="S286">
        <v>0</v>
      </c>
      <c r="T286" s="2">
        <v>0</v>
      </c>
      <c r="U286" s="2">
        <v>0</v>
      </c>
      <c r="V286" s="2">
        <v>0</v>
      </c>
      <c r="W286" s="2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 s="2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</row>
    <row r="287" spans="1:48" hidden="1" x14ac:dyDescent="0.2">
      <c r="A287">
        <v>102</v>
      </c>
      <c r="B287" t="s">
        <v>807</v>
      </c>
      <c r="C287" t="s">
        <v>808</v>
      </c>
      <c r="D287" t="s">
        <v>807</v>
      </c>
      <c r="E287" t="s">
        <v>808</v>
      </c>
      <c r="F287">
        <v>1</v>
      </c>
      <c r="G287" t="s">
        <v>809</v>
      </c>
      <c r="H287" t="s">
        <v>176</v>
      </c>
      <c r="I287" t="s">
        <v>60</v>
      </c>
      <c r="J287" s="2" t="s">
        <v>810</v>
      </c>
      <c r="K287" t="s">
        <v>811</v>
      </c>
      <c r="L287" s="2" t="s">
        <v>63</v>
      </c>
      <c r="M287" s="1">
        <v>45624</v>
      </c>
      <c r="N287" t="s">
        <v>64</v>
      </c>
      <c r="O287" t="s">
        <v>64</v>
      </c>
      <c r="P287" t="s">
        <v>635</v>
      </c>
      <c r="Q287">
        <v>0</v>
      </c>
      <c r="R287">
        <v>0</v>
      </c>
      <c r="S287">
        <v>0</v>
      </c>
      <c r="T287" s="2">
        <v>0</v>
      </c>
      <c r="U287" s="2">
        <v>0</v>
      </c>
      <c r="V287" s="2">
        <v>0</v>
      </c>
      <c r="W287" s="2">
        <v>1078.9100000000001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 s="2">
        <v>0</v>
      </c>
      <c r="AE287">
        <v>1078.9100000000001</v>
      </c>
      <c r="AF287">
        <v>100</v>
      </c>
      <c r="AG287">
        <v>1078.9100000000001</v>
      </c>
      <c r="AH287">
        <v>100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1078.9100000000001</v>
      </c>
      <c r="AR287">
        <v>12946.92</v>
      </c>
      <c r="AS287">
        <v>0</v>
      </c>
      <c r="AT287">
        <v>2171.08</v>
      </c>
      <c r="AU287">
        <v>10775.84</v>
      </c>
      <c r="AV287">
        <v>83.23</v>
      </c>
    </row>
    <row r="288" spans="1:48" x14ac:dyDescent="0.2">
      <c r="G288" s="3"/>
      <c r="H288" s="3"/>
      <c r="I288" s="3"/>
      <c r="J288" s="3"/>
      <c r="K288" s="3"/>
      <c r="L288" s="3"/>
      <c r="M288" s="4"/>
      <c r="N288" s="3"/>
      <c r="O288" s="4"/>
      <c r="P288" s="3"/>
      <c r="Q288" s="3"/>
      <c r="R288" s="3"/>
      <c r="S288" s="3"/>
      <c r="T288" s="3">
        <f>SUBTOTAL(109,Tabla1[Venta_pend_alb])</f>
        <v>0</v>
      </c>
      <c r="U288" s="3">
        <f>SUBTOTAL(109,Tabla1[Venta_pend_ped])</f>
        <v>0</v>
      </c>
      <c r="V288" s="3">
        <f>SUBTOTAL(109,Tabla1[Venta_pend_fac])</f>
        <v>0</v>
      </c>
      <c r="W288" s="6">
        <f>SUBTOTAL(109,Tabla1[Venta])</f>
        <v>93378.45</v>
      </c>
      <c r="X288" s="3"/>
      <c r="Y288" s="3"/>
      <c r="Z288" s="3"/>
      <c r="AA288" s="3"/>
      <c r="AB288" s="3"/>
      <c r="AC288" s="3"/>
      <c r="AD288" s="5">
        <f>SUBTOTAL(109,Tabla1[Coste])</f>
        <v>23034.23</v>
      </c>
      <c r="AE288" s="5">
        <f>SUBTOTAL(109,Tabla1[Margen])</f>
        <v>70344.22</v>
      </c>
      <c r="AF288" s="7">
        <f>Tabla1[[#Totals],[Margen]]/Tabla1[[#Totals],[Venta]]</f>
        <v>0.75332392002651583</v>
      </c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5">
        <f>SUBTOTAL(109,Tabla1[Margen_acumulado])</f>
        <v>115401.7</v>
      </c>
      <c r="AV288" s="3"/>
    </row>
  </sheetData>
  <conditionalFormatting sqref="AF1:AF1048576">
    <cfRule type="cellIs" dxfId="1" priority="2" operator="lessThan">
      <formula>20</formula>
    </cfRule>
  </conditionalFormatting>
  <conditionalFormatting sqref="AH1:AH1048576">
    <cfRule type="cellIs" dxfId="0" priority="1" operator="greaterThan">
      <formula>20</formula>
    </cfRule>
  </conditionalFormatting>
  <pageMargins left="0.7" right="0.7" top="0.75" bottom="0.75" header="0.3" footer="0.3"/>
  <pageSetup scale="0" firstPageNumber="0" fitToWidth="0" fitToHeight="0" orientation="landscape" horizontalDpi="0" verticalDpi="0" copie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00E15473-405A-4B38-9DAF-E6A2C432472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F1768892946965_ZREN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Martinez</dc:creator>
  <cp:lastModifiedBy>Omar Martínez</cp:lastModifiedBy>
  <dcterms:created xsi:type="dcterms:W3CDTF">2026-01-20T13:40:12Z</dcterms:created>
  <dcterms:modified xsi:type="dcterms:W3CDTF">2026-01-21T12:37:24Z</dcterms:modified>
</cp:coreProperties>
</file>